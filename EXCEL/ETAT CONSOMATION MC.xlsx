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RODUCTION FOSBER  ET MACARBOX\"/>
    </mc:Choice>
  </mc:AlternateContent>
  <bookViews>
    <workbookView xWindow="0" yWindow="0" windowWidth="11115" windowHeight="480" firstSheet="13" activeTab="20"/>
  </bookViews>
  <sheets>
    <sheet name="1310" sheetId="1" r:id="rId1"/>
    <sheet name="1410" sheetId="2" r:id="rId2"/>
    <sheet name="1510" sheetId="3" r:id="rId3"/>
    <sheet name="1610" sheetId="4" r:id="rId4"/>
    <sheet name="1910" sheetId="5" r:id="rId5"/>
    <sheet name="2010" sheetId="6" r:id="rId6"/>
    <sheet name="2110" sheetId="7" r:id="rId7"/>
    <sheet name="2210" sheetId="8" r:id="rId8"/>
    <sheet name="2310" sheetId="9" r:id="rId9"/>
    <sheet name="2510" sheetId="10" r:id="rId10"/>
    <sheet name="2710" sheetId="11" r:id="rId11"/>
    <sheet name="2810" sheetId="12" r:id="rId12"/>
    <sheet name="2910" sheetId="13" r:id="rId13"/>
    <sheet name="3010" sheetId="14" r:id="rId14"/>
    <sheet name="0111" sheetId="15" r:id="rId15"/>
    <sheet name="0211" sheetId="16" r:id="rId16"/>
    <sheet name="0311" sheetId="17" r:id="rId17"/>
    <sheet name="0411" sheetId="19" r:id="rId18"/>
    <sheet name="0511" sheetId="20" r:id="rId19"/>
    <sheet name="0611" sheetId="21" r:id="rId20"/>
    <sheet name="RECAP" sheetId="18" r:id="rId21"/>
  </sheets>
  <externalReferences>
    <externalReference r:id="rId2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1" l="1"/>
  <c r="L30" i="18" l="1"/>
  <c r="L29" i="18"/>
  <c r="L28" i="18"/>
  <c r="L27" i="18"/>
  <c r="L26" i="18"/>
  <c r="L25" i="18"/>
  <c r="L24" i="18"/>
  <c r="L23" i="18"/>
  <c r="L22" i="18"/>
  <c r="L21" i="18"/>
  <c r="L20" i="18"/>
  <c r="L18" i="18"/>
  <c r="L16" i="18"/>
  <c r="L15" i="18"/>
  <c r="L14" i="18"/>
  <c r="L11" i="18"/>
  <c r="L10" i="18"/>
  <c r="L9" i="18"/>
  <c r="L8" i="18"/>
  <c r="L7" i="18"/>
  <c r="H52" i="21"/>
  <c r="G52" i="21"/>
  <c r="H42" i="21"/>
  <c r="E9" i="21"/>
  <c r="B75" i="21"/>
  <c r="H75" i="21" s="1"/>
  <c r="B74" i="21"/>
  <c r="H74" i="21" s="1"/>
  <c r="B73" i="21"/>
  <c r="H73" i="21" s="1"/>
  <c r="B72" i="21"/>
  <c r="H72" i="21" s="1"/>
  <c r="B71" i="21"/>
  <c r="H71" i="21" s="1"/>
  <c r="B70" i="21"/>
  <c r="H70" i="21" s="1"/>
  <c r="B69" i="21"/>
  <c r="H69" i="21" s="1"/>
  <c r="B68" i="21"/>
  <c r="H68" i="21" s="1"/>
  <c r="B67" i="21"/>
  <c r="H67" i="21" s="1"/>
  <c r="B66" i="21"/>
  <c r="H66" i="21" s="1"/>
  <c r="B65" i="21"/>
  <c r="H65" i="21" s="1"/>
  <c r="B64" i="21"/>
  <c r="H64" i="21" s="1"/>
  <c r="B63" i="21"/>
  <c r="H63" i="21" s="1"/>
  <c r="B62" i="21"/>
  <c r="H62" i="21" s="1"/>
  <c r="B61" i="21"/>
  <c r="H61" i="21" s="1"/>
  <c r="B60" i="21"/>
  <c r="H60" i="21" s="1"/>
  <c r="B59" i="21"/>
  <c r="H59" i="21" s="1"/>
  <c r="B58" i="21"/>
  <c r="H58" i="21" s="1"/>
  <c r="B57" i="21"/>
  <c r="H57" i="21" s="1"/>
  <c r="B56" i="21"/>
  <c r="H56" i="21" s="1"/>
  <c r="B55" i="21"/>
  <c r="B54" i="21"/>
  <c r="H54" i="21" s="1"/>
  <c r="B53" i="21"/>
  <c r="H53" i="21" s="1"/>
  <c r="B51" i="21"/>
  <c r="H51" i="21" s="1"/>
  <c r="B50" i="21"/>
  <c r="H50" i="21" s="1"/>
  <c r="B49" i="21"/>
  <c r="H49" i="21" s="1"/>
  <c r="B48" i="21"/>
  <c r="H48" i="21" s="1"/>
  <c r="B47" i="21"/>
  <c r="H47" i="21" s="1"/>
  <c r="B46" i="21"/>
  <c r="H46" i="21" s="1"/>
  <c r="B45" i="21"/>
  <c r="H45" i="21" s="1"/>
  <c r="B44" i="21"/>
  <c r="H44" i="21" s="1"/>
  <c r="B43" i="21"/>
  <c r="H43" i="21" s="1"/>
  <c r="B41" i="21"/>
  <c r="H41" i="21" s="1"/>
  <c r="B40" i="21"/>
  <c r="H40" i="21" s="1"/>
  <c r="B39" i="21"/>
  <c r="H39" i="21" s="1"/>
  <c r="B38" i="21"/>
  <c r="H38" i="21" s="1"/>
  <c r="B37" i="21"/>
  <c r="H37" i="21" s="1"/>
  <c r="B36" i="21"/>
  <c r="H36" i="21" s="1"/>
  <c r="B35" i="21"/>
  <c r="H35" i="21" s="1"/>
  <c r="B34" i="21"/>
  <c r="H34" i="21" s="1"/>
  <c r="B33" i="21"/>
  <c r="H33" i="21" s="1"/>
  <c r="B32" i="21"/>
  <c r="H32" i="21" s="1"/>
  <c r="B31" i="21"/>
  <c r="H31" i="21" s="1"/>
  <c r="B30" i="21"/>
  <c r="H30" i="21" s="1"/>
  <c r="B29" i="21"/>
  <c r="H29" i="21" s="1"/>
  <c r="B28" i="21"/>
  <c r="H28" i="21" s="1"/>
  <c r="B27" i="21"/>
  <c r="H27" i="21" s="1"/>
  <c r="B26" i="21"/>
  <c r="H26" i="21" s="1"/>
  <c r="B25" i="21"/>
  <c r="H25" i="21" s="1"/>
  <c r="B24" i="21"/>
  <c r="B23" i="21"/>
  <c r="H23" i="21" s="1"/>
  <c r="B22" i="21"/>
  <c r="B21" i="21"/>
  <c r="H21" i="21" s="1"/>
  <c r="B20" i="21"/>
  <c r="H20" i="21" s="1"/>
  <c r="B19" i="21"/>
  <c r="H19" i="21" s="1"/>
  <c r="B18" i="21"/>
  <c r="H18" i="21" s="1"/>
  <c r="B17" i="21"/>
  <c r="H17" i="21" s="1"/>
  <c r="B16" i="21"/>
  <c r="H16" i="21" s="1"/>
  <c r="B15" i="21"/>
  <c r="H15" i="21" s="1"/>
  <c r="L13" i="18" s="1"/>
  <c r="B14" i="21"/>
  <c r="H14" i="21" s="1"/>
  <c r="L12" i="18" s="1"/>
  <c r="B13" i="21"/>
  <c r="H13" i="21" s="1"/>
  <c r="B12" i="21"/>
  <c r="B11" i="21"/>
  <c r="B10" i="21"/>
  <c r="H10" i="21" s="1"/>
  <c r="B9" i="21"/>
  <c r="B8" i="21"/>
  <c r="H8" i="21" s="1"/>
  <c r="B7" i="21"/>
  <c r="B6" i="21"/>
  <c r="H6" i="21" s="1"/>
  <c r="B5" i="21"/>
  <c r="H5" i="21" s="1"/>
  <c r="B4" i="21"/>
  <c r="H4" i="21" s="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H55" i="21"/>
  <c r="G55" i="21"/>
  <c r="G54" i="21"/>
  <c r="G53" i="21"/>
  <c r="G51" i="21"/>
  <c r="G50" i="21"/>
  <c r="G49" i="21"/>
  <c r="G48" i="21"/>
  <c r="G47" i="21"/>
  <c r="G46" i="21"/>
  <c r="G45" i="21"/>
  <c r="G44" i="21"/>
  <c r="G43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H24" i="21"/>
  <c r="G24" i="21"/>
  <c r="G23" i="21"/>
  <c r="G22" i="21"/>
  <c r="H22" i="21"/>
  <c r="G21" i="21"/>
  <c r="G20" i="21"/>
  <c r="G19" i="21"/>
  <c r="G18" i="21"/>
  <c r="G17" i="21"/>
  <c r="G16" i="21"/>
  <c r="G15" i="21"/>
  <c r="G13" i="21"/>
  <c r="G12" i="21"/>
  <c r="H12" i="21"/>
  <c r="H11" i="21"/>
  <c r="G11" i="21"/>
  <c r="G10" i="21"/>
  <c r="G9" i="21"/>
  <c r="G8" i="21"/>
  <c r="H7" i="21"/>
  <c r="G7" i="21"/>
  <c r="G6" i="21"/>
  <c r="G5" i="21"/>
  <c r="G4" i="21"/>
  <c r="L17" i="18"/>
  <c r="L19" i="18"/>
  <c r="K30" i="18"/>
  <c r="K29" i="18"/>
  <c r="K28" i="18"/>
  <c r="K27" i="18"/>
  <c r="K26" i="18"/>
  <c r="K25" i="18"/>
  <c r="K24" i="18"/>
  <c r="K23" i="18"/>
  <c r="K22" i="18"/>
  <c r="K21" i="18"/>
  <c r="K20" i="18"/>
  <c r="K7" i="18"/>
  <c r="K8" i="18"/>
  <c r="K9" i="18"/>
  <c r="K10" i="18"/>
  <c r="K11" i="18"/>
  <c r="K13" i="18"/>
  <c r="K14" i="18"/>
  <c r="K15" i="18"/>
  <c r="K18" i="18"/>
  <c r="K17" i="18"/>
  <c r="K16" i="18"/>
  <c r="H9" i="21" l="1"/>
  <c r="G14" i="21"/>
  <c r="M30" i="18" l="1"/>
  <c r="J30" i="18"/>
  <c r="I30" i="18"/>
  <c r="H30" i="18"/>
  <c r="G30" i="18"/>
  <c r="F30" i="18"/>
  <c r="E30" i="18"/>
  <c r="D30" i="18"/>
  <c r="C30" i="18"/>
  <c r="B30" i="18"/>
  <c r="M29" i="18"/>
  <c r="J29" i="18"/>
  <c r="I29" i="18"/>
  <c r="H29" i="18"/>
  <c r="G29" i="18"/>
  <c r="F29" i="18"/>
  <c r="E29" i="18"/>
  <c r="D29" i="18"/>
  <c r="C29" i="18"/>
  <c r="B29" i="18"/>
  <c r="M28" i="18"/>
  <c r="J28" i="18"/>
  <c r="I28" i="18"/>
  <c r="H28" i="18"/>
  <c r="G28" i="18"/>
  <c r="F28" i="18"/>
  <c r="E28" i="18"/>
  <c r="D28" i="18"/>
  <c r="C28" i="18"/>
  <c r="B28" i="18"/>
  <c r="M27" i="18"/>
  <c r="J27" i="18"/>
  <c r="I27" i="18"/>
  <c r="H27" i="18"/>
  <c r="G27" i="18"/>
  <c r="F27" i="18"/>
  <c r="E27" i="18"/>
  <c r="D27" i="18"/>
  <c r="C27" i="18"/>
  <c r="B27" i="18"/>
  <c r="M26" i="18"/>
  <c r="J26" i="18"/>
  <c r="I26" i="18"/>
  <c r="H26" i="18"/>
  <c r="G26" i="18"/>
  <c r="F26" i="18"/>
  <c r="E26" i="18"/>
  <c r="D26" i="18"/>
  <c r="C26" i="18"/>
  <c r="B26" i="18"/>
  <c r="M25" i="18"/>
  <c r="J25" i="18"/>
  <c r="I25" i="18"/>
  <c r="H25" i="18"/>
  <c r="G25" i="18"/>
  <c r="F25" i="18"/>
  <c r="E25" i="18"/>
  <c r="D25" i="18"/>
  <c r="C25" i="18"/>
  <c r="B25" i="18"/>
  <c r="M24" i="18"/>
  <c r="J24" i="18"/>
  <c r="I24" i="18"/>
  <c r="H24" i="18"/>
  <c r="G24" i="18"/>
  <c r="F24" i="18"/>
  <c r="E24" i="18"/>
  <c r="D24" i="18"/>
  <c r="C24" i="18"/>
  <c r="B24" i="18"/>
  <c r="M23" i="18"/>
  <c r="J23" i="18"/>
  <c r="I23" i="18"/>
  <c r="H23" i="18"/>
  <c r="G23" i="18"/>
  <c r="F23" i="18"/>
  <c r="E23" i="18"/>
  <c r="D23" i="18"/>
  <c r="C23" i="18"/>
  <c r="B23" i="18"/>
  <c r="M22" i="18"/>
  <c r="J22" i="18"/>
  <c r="I22" i="18"/>
  <c r="H22" i="18"/>
  <c r="G22" i="18"/>
  <c r="F22" i="18"/>
  <c r="E22" i="18"/>
  <c r="D22" i="18"/>
  <c r="C22" i="18"/>
  <c r="B22" i="18"/>
  <c r="M21" i="18"/>
  <c r="J21" i="18"/>
  <c r="I21" i="18"/>
  <c r="H21" i="18"/>
  <c r="G21" i="18"/>
  <c r="F21" i="18"/>
  <c r="E21" i="18"/>
  <c r="D21" i="18"/>
  <c r="C21" i="18"/>
  <c r="B21" i="18"/>
  <c r="M20" i="18"/>
  <c r="J20" i="18"/>
  <c r="I20" i="18"/>
  <c r="H20" i="18"/>
  <c r="G20" i="18"/>
  <c r="F20" i="18"/>
  <c r="E20" i="18"/>
  <c r="D20" i="18"/>
  <c r="C20" i="18"/>
  <c r="B20" i="18"/>
  <c r="M19" i="18"/>
  <c r="K19" i="18"/>
  <c r="J19" i="18"/>
  <c r="I19" i="18"/>
  <c r="H19" i="18"/>
  <c r="G19" i="18"/>
  <c r="F19" i="18"/>
  <c r="E19" i="18"/>
  <c r="D19" i="18"/>
  <c r="C19" i="18"/>
  <c r="B19" i="18"/>
  <c r="M18" i="18"/>
  <c r="E14" i="20" l="1"/>
  <c r="H5" i="20"/>
  <c r="H29" i="20"/>
  <c r="H21" i="20"/>
  <c r="E18" i="20"/>
  <c r="H73" i="20"/>
  <c r="H69" i="20"/>
  <c r="H51" i="20"/>
  <c r="H30" i="20"/>
  <c r="C29" i="20"/>
  <c r="H7" i="20"/>
  <c r="B73" i="20"/>
  <c r="B72" i="20"/>
  <c r="B71" i="20"/>
  <c r="H71" i="20" s="1"/>
  <c r="B70" i="20"/>
  <c r="B69" i="20"/>
  <c r="B68" i="20"/>
  <c r="B67" i="20"/>
  <c r="H67" i="20" s="1"/>
  <c r="B66" i="20"/>
  <c r="B65" i="20"/>
  <c r="B64" i="20"/>
  <c r="B63" i="20"/>
  <c r="H63" i="20" s="1"/>
  <c r="B62" i="20"/>
  <c r="B61" i="20"/>
  <c r="B60" i="20"/>
  <c r="B59" i="20"/>
  <c r="H59" i="20" s="1"/>
  <c r="B58" i="20"/>
  <c r="B57" i="20"/>
  <c r="B56" i="20"/>
  <c r="B55" i="20"/>
  <c r="H55" i="20" s="1"/>
  <c r="B54" i="20"/>
  <c r="B53" i="20"/>
  <c r="B52" i="20"/>
  <c r="B51" i="20"/>
  <c r="B50" i="20"/>
  <c r="B49" i="20"/>
  <c r="B48" i="20"/>
  <c r="B47" i="20"/>
  <c r="H47" i="20" s="1"/>
  <c r="B46" i="20"/>
  <c r="B45" i="20"/>
  <c r="B44" i="20"/>
  <c r="B43" i="20"/>
  <c r="H43" i="20" s="1"/>
  <c r="B42" i="20"/>
  <c r="B41" i="20"/>
  <c r="B40" i="20"/>
  <c r="B39" i="20"/>
  <c r="H39" i="20" s="1"/>
  <c r="B38" i="20"/>
  <c r="B37" i="20"/>
  <c r="B36" i="20"/>
  <c r="B35" i="20"/>
  <c r="H35" i="20" s="1"/>
  <c r="B34" i="20"/>
  <c r="B33" i="20"/>
  <c r="B32" i="20"/>
  <c r="B31" i="20"/>
  <c r="H31" i="20" s="1"/>
  <c r="B30" i="20"/>
  <c r="B29" i="20"/>
  <c r="B28" i="20"/>
  <c r="B27" i="20"/>
  <c r="H27" i="20" s="1"/>
  <c r="B26" i="20"/>
  <c r="B25" i="20"/>
  <c r="B24" i="20"/>
  <c r="B23" i="20"/>
  <c r="H23" i="20" s="1"/>
  <c r="B22" i="20"/>
  <c r="B21" i="20"/>
  <c r="B20" i="20"/>
  <c r="B19" i="20"/>
  <c r="H19" i="20" s="1"/>
  <c r="B18" i="20"/>
  <c r="B17" i="20"/>
  <c r="B16" i="20"/>
  <c r="B15" i="20"/>
  <c r="H15" i="20" s="1"/>
  <c r="B14" i="20"/>
  <c r="B13" i="20"/>
  <c r="B12" i="20"/>
  <c r="B11" i="20"/>
  <c r="B10" i="20"/>
  <c r="H10" i="20" s="1"/>
  <c r="B9" i="20"/>
  <c r="B8" i="20"/>
  <c r="B7" i="20"/>
  <c r="B6" i="20"/>
  <c r="H6" i="20" s="1"/>
  <c r="B5" i="20"/>
  <c r="H4" i="20"/>
  <c r="B4" i="20"/>
  <c r="G73" i="20"/>
  <c r="H72" i="20"/>
  <c r="G72" i="20"/>
  <c r="G71" i="20"/>
  <c r="G70" i="20"/>
  <c r="H70" i="20"/>
  <c r="G69" i="20"/>
  <c r="H68" i="20"/>
  <c r="G68" i="20"/>
  <c r="G67" i="20"/>
  <c r="G66" i="20"/>
  <c r="H66" i="20"/>
  <c r="G65" i="20"/>
  <c r="H65" i="20"/>
  <c r="H64" i="20"/>
  <c r="G64" i="20"/>
  <c r="G63" i="20"/>
  <c r="G62" i="20"/>
  <c r="H62" i="20"/>
  <c r="G61" i="20"/>
  <c r="H61" i="20"/>
  <c r="H60" i="20"/>
  <c r="G60" i="20"/>
  <c r="G59" i="20"/>
  <c r="G58" i="20"/>
  <c r="H58" i="20"/>
  <c r="G57" i="20"/>
  <c r="H57" i="20"/>
  <c r="H56" i="20"/>
  <c r="G56" i="20"/>
  <c r="G55" i="20"/>
  <c r="G54" i="20"/>
  <c r="H54" i="20"/>
  <c r="G53" i="20"/>
  <c r="H53" i="20"/>
  <c r="H52" i="20"/>
  <c r="G52" i="20"/>
  <c r="G51" i="20"/>
  <c r="G50" i="20"/>
  <c r="H50" i="20"/>
  <c r="G49" i="20"/>
  <c r="H49" i="20"/>
  <c r="H48" i="20"/>
  <c r="G48" i="20"/>
  <c r="G47" i="20"/>
  <c r="G46" i="20"/>
  <c r="H46" i="20"/>
  <c r="G45" i="20"/>
  <c r="H45" i="20"/>
  <c r="H44" i="20"/>
  <c r="G44" i="20"/>
  <c r="G43" i="20"/>
  <c r="G42" i="20"/>
  <c r="H42" i="20"/>
  <c r="G41" i="20"/>
  <c r="H41" i="20"/>
  <c r="H40" i="20"/>
  <c r="G40" i="20"/>
  <c r="G39" i="20"/>
  <c r="G38" i="20"/>
  <c r="H38" i="20"/>
  <c r="G37" i="20"/>
  <c r="H37" i="20"/>
  <c r="H36" i="20"/>
  <c r="G36" i="20"/>
  <c r="G35" i="20"/>
  <c r="G34" i="20"/>
  <c r="H34" i="20"/>
  <c r="G33" i="20"/>
  <c r="H33" i="20"/>
  <c r="H32" i="20"/>
  <c r="G32" i="20"/>
  <c r="G31" i="20"/>
  <c r="G30" i="20"/>
  <c r="G29" i="20"/>
  <c r="H28" i="20"/>
  <c r="G28" i="20"/>
  <c r="G27" i="20"/>
  <c r="G26" i="20"/>
  <c r="H26" i="20"/>
  <c r="G25" i="20"/>
  <c r="H25" i="20"/>
  <c r="H24" i="20"/>
  <c r="G24" i="20"/>
  <c r="G23" i="20"/>
  <c r="G22" i="20"/>
  <c r="H22" i="20"/>
  <c r="G21" i="20"/>
  <c r="H20" i="20"/>
  <c r="G20" i="20"/>
  <c r="G19" i="20"/>
  <c r="G18" i="20"/>
  <c r="H18" i="20"/>
  <c r="G17" i="20"/>
  <c r="H17" i="20"/>
  <c r="H16" i="20"/>
  <c r="G16" i="20"/>
  <c r="G15" i="20"/>
  <c r="G13" i="20"/>
  <c r="H13" i="20"/>
  <c r="G12" i="20"/>
  <c r="H12" i="20"/>
  <c r="H11" i="20"/>
  <c r="G11" i="20"/>
  <c r="G10" i="20"/>
  <c r="G9" i="20"/>
  <c r="H9" i="20"/>
  <c r="G8" i="20"/>
  <c r="H8" i="20"/>
  <c r="G7" i="20"/>
  <c r="G6" i="20"/>
  <c r="G5" i="20"/>
  <c r="G4" i="20"/>
  <c r="H14" i="20" l="1"/>
  <c r="G14" i="20"/>
  <c r="H4" i="19"/>
  <c r="E14" i="19" l="1"/>
  <c r="E14" i="17"/>
  <c r="H7" i="19"/>
  <c r="B73" i="19"/>
  <c r="B72" i="19"/>
  <c r="B71" i="19"/>
  <c r="B70" i="19"/>
  <c r="H70" i="19" s="1"/>
  <c r="B69" i="19"/>
  <c r="B68" i="19"/>
  <c r="B67" i="19"/>
  <c r="B66" i="19"/>
  <c r="H66" i="19" s="1"/>
  <c r="B65" i="19"/>
  <c r="B64" i="19"/>
  <c r="B63" i="19"/>
  <c r="B62" i="19"/>
  <c r="H62" i="19" s="1"/>
  <c r="B61" i="19"/>
  <c r="B60" i="19"/>
  <c r="B59" i="19"/>
  <c r="B58" i="19"/>
  <c r="H58" i="19" s="1"/>
  <c r="B57" i="19"/>
  <c r="B56" i="19"/>
  <c r="B55" i="19"/>
  <c r="B54" i="19"/>
  <c r="H54" i="19" s="1"/>
  <c r="B53" i="19"/>
  <c r="B52" i="19"/>
  <c r="B51" i="19"/>
  <c r="B50" i="19"/>
  <c r="H50" i="19" s="1"/>
  <c r="B49" i="19"/>
  <c r="B48" i="19"/>
  <c r="B47" i="19"/>
  <c r="B46" i="19"/>
  <c r="H46" i="19" s="1"/>
  <c r="B45" i="19"/>
  <c r="B44" i="19"/>
  <c r="B43" i="19"/>
  <c r="B42" i="19"/>
  <c r="H42" i="19" s="1"/>
  <c r="B41" i="19"/>
  <c r="B40" i="19"/>
  <c r="B39" i="19"/>
  <c r="B38" i="19"/>
  <c r="H38" i="19" s="1"/>
  <c r="B37" i="19"/>
  <c r="B36" i="19"/>
  <c r="B35" i="19"/>
  <c r="B34" i="19"/>
  <c r="H34" i="19" s="1"/>
  <c r="B33" i="19"/>
  <c r="B32" i="19"/>
  <c r="B31" i="19"/>
  <c r="B30" i="19"/>
  <c r="H30" i="19" s="1"/>
  <c r="B29" i="19"/>
  <c r="B28" i="19"/>
  <c r="B27" i="19"/>
  <c r="B26" i="19"/>
  <c r="H26" i="19" s="1"/>
  <c r="B25" i="19"/>
  <c r="B24" i="19"/>
  <c r="B23" i="19"/>
  <c r="B22" i="19"/>
  <c r="H22" i="19" s="1"/>
  <c r="B21" i="19"/>
  <c r="B20" i="19"/>
  <c r="B19" i="19"/>
  <c r="B18" i="19"/>
  <c r="H18" i="19" s="1"/>
  <c r="B17" i="19"/>
  <c r="B16" i="19"/>
  <c r="B13" i="19"/>
  <c r="B12" i="19"/>
  <c r="B11" i="19"/>
  <c r="B10" i="19"/>
  <c r="H10" i="19" s="1"/>
  <c r="B9" i="19"/>
  <c r="B8" i="19"/>
  <c r="B7" i="19"/>
  <c r="B6" i="19"/>
  <c r="H6" i="19" s="1"/>
  <c r="B5" i="19"/>
  <c r="B4" i="19"/>
  <c r="H73" i="19"/>
  <c r="G73" i="19"/>
  <c r="H72" i="19"/>
  <c r="G72" i="19"/>
  <c r="G71" i="19"/>
  <c r="H71" i="19"/>
  <c r="G70" i="19"/>
  <c r="H69" i="19"/>
  <c r="G69" i="19"/>
  <c r="G68" i="19"/>
  <c r="H68" i="19"/>
  <c r="G67" i="19"/>
  <c r="H67" i="19"/>
  <c r="G66" i="19"/>
  <c r="H65" i="19"/>
  <c r="G65" i="19"/>
  <c r="G64" i="19"/>
  <c r="H64" i="19"/>
  <c r="G63" i="19"/>
  <c r="H63" i="19"/>
  <c r="G62" i="19"/>
  <c r="H61" i="19"/>
  <c r="G61" i="19"/>
  <c r="G60" i="19"/>
  <c r="H60" i="19"/>
  <c r="G59" i="19"/>
  <c r="H59" i="19"/>
  <c r="G58" i="19"/>
  <c r="H57" i="19"/>
  <c r="G57" i="19"/>
  <c r="G56" i="19"/>
  <c r="H56" i="19"/>
  <c r="G55" i="19"/>
  <c r="H55" i="19"/>
  <c r="G54" i="19"/>
  <c r="H53" i="19"/>
  <c r="G53" i="19"/>
  <c r="G52" i="19"/>
  <c r="H52" i="19"/>
  <c r="G51" i="19"/>
  <c r="H51" i="19"/>
  <c r="G50" i="19"/>
  <c r="H49" i="19"/>
  <c r="G49" i="19"/>
  <c r="G48" i="19"/>
  <c r="H48" i="19"/>
  <c r="G47" i="19"/>
  <c r="H47" i="19"/>
  <c r="G46" i="19"/>
  <c r="H45" i="19"/>
  <c r="G45" i="19"/>
  <c r="G44" i="19"/>
  <c r="H44" i="19"/>
  <c r="G43" i="19"/>
  <c r="H43" i="19"/>
  <c r="G42" i="19"/>
  <c r="H41" i="19"/>
  <c r="G41" i="19"/>
  <c r="G40" i="19"/>
  <c r="H40" i="19"/>
  <c r="G39" i="19"/>
  <c r="H39" i="19"/>
  <c r="G38" i="19"/>
  <c r="H37" i="19"/>
  <c r="G37" i="19"/>
  <c r="G36" i="19"/>
  <c r="H36" i="19"/>
  <c r="G35" i="19"/>
  <c r="H35" i="19"/>
  <c r="G34" i="19"/>
  <c r="H33" i="19"/>
  <c r="G33" i="19"/>
  <c r="G32" i="19"/>
  <c r="H32" i="19"/>
  <c r="G31" i="19"/>
  <c r="H31" i="19"/>
  <c r="G30" i="19"/>
  <c r="H29" i="19"/>
  <c r="G29" i="19"/>
  <c r="H28" i="19"/>
  <c r="G27" i="19"/>
  <c r="H27" i="19"/>
  <c r="G26" i="19"/>
  <c r="H25" i="19"/>
  <c r="G25" i="19"/>
  <c r="H24" i="19"/>
  <c r="G24" i="19"/>
  <c r="H23" i="19"/>
  <c r="G23" i="19"/>
  <c r="G22" i="19"/>
  <c r="G21" i="19"/>
  <c r="H21" i="19"/>
  <c r="H20" i="19"/>
  <c r="G20" i="19"/>
  <c r="H19" i="19"/>
  <c r="G19" i="19"/>
  <c r="G18" i="19"/>
  <c r="G17" i="19"/>
  <c r="H17" i="19"/>
  <c r="H16" i="19"/>
  <c r="G16" i="19"/>
  <c r="G15" i="19"/>
  <c r="G14" i="19"/>
  <c r="G13" i="19"/>
  <c r="H13" i="19"/>
  <c r="H12" i="19"/>
  <c r="G12" i="19"/>
  <c r="H11" i="19"/>
  <c r="G11" i="19"/>
  <c r="G10" i="19"/>
  <c r="G9" i="19"/>
  <c r="H9" i="19"/>
  <c r="H8" i="19"/>
  <c r="G8" i="19"/>
  <c r="G7" i="19"/>
  <c r="G6" i="19"/>
  <c r="G5" i="19"/>
  <c r="H5" i="19"/>
  <c r="G4" i="19"/>
  <c r="M17" i="18"/>
  <c r="M16" i="18"/>
  <c r="M15" i="18"/>
  <c r="M14" i="18"/>
  <c r="M13" i="18"/>
  <c r="M12" i="18"/>
  <c r="M11" i="18"/>
  <c r="M10" i="18"/>
  <c r="M9" i="18"/>
  <c r="M8" i="18"/>
  <c r="M7" i="18"/>
  <c r="D11" i="18"/>
  <c r="C11" i="18"/>
  <c r="B11" i="18"/>
  <c r="C10" i="18"/>
  <c r="B10" i="18"/>
  <c r="E24" i="17"/>
  <c r="E28" i="17"/>
  <c r="G28" i="19" l="1"/>
  <c r="B73" i="17" l="1"/>
  <c r="H73" i="17" s="1"/>
  <c r="H72" i="17"/>
  <c r="B71" i="17"/>
  <c r="B70" i="17"/>
  <c r="B69" i="17"/>
  <c r="H69" i="17" s="1"/>
  <c r="B68" i="17"/>
  <c r="H68" i="17" s="1"/>
  <c r="B67" i="17"/>
  <c r="B66" i="17"/>
  <c r="B65" i="17"/>
  <c r="H65" i="17" s="1"/>
  <c r="B64" i="17"/>
  <c r="H64" i="17" s="1"/>
  <c r="B63" i="17"/>
  <c r="B62" i="17"/>
  <c r="B61" i="17"/>
  <c r="H61" i="17" s="1"/>
  <c r="B60" i="17"/>
  <c r="H60" i="17" s="1"/>
  <c r="B59" i="17"/>
  <c r="B58" i="17"/>
  <c r="B57" i="17"/>
  <c r="H57" i="17" s="1"/>
  <c r="B56" i="17"/>
  <c r="H56" i="17" s="1"/>
  <c r="B55" i="17"/>
  <c r="B54" i="17"/>
  <c r="B53" i="17"/>
  <c r="H53" i="17" s="1"/>
  <c r="B52" i="17"/>
  <c r="H52" i="17" s="1"/>
  <c r="B51" i="17"/>
  <c r="B50" i="17"/>
  <c r="B49" i="17"/>
  <c r="H49" i="17" s="1"/>
  <c r="B48" i="17"/>
  <c r="H48" i="17" s="1"/>
  <c r="B47" i="17"/>
  <c r="B46" i="17"/>
  <c r="B45" i="17"/>
  <c r="H45" i="17" s="1"/>
  <c r="B44" i="17"/>
  <c r="H44" i="17" s="1"/>
  <c r="B43" i="17"/>
  <c r="B42" i="17"/>
  <c r="B41" i="17"/>
  <c r="H41" i="17" s="1"/>
  <c r="B40" i="17"/>
  <c r="H40" i="17" s="1"/>
  <c r="B39" i="17"/>
  <c r="B38" i="17"/>
  <c r="B37" i="17"/>
  <c r="H37" i="17" s="1"/>
  <c r="B36" i="17"/>
  <c r="H36" i="17" s="1"/>
  <c r="B35" i="17"/>
  <c r="B34" i="17"/>
  <c r="B33" i="17"/>
  <c r="H33" i="17" s="1"/>
  <c r="B32" i="17"/>
  <c r="H32" i="17" s="1"/>
  <c r="B31" i="17"/>
  <c r="B30" i="17"/>
  <c r="B29" i="17"/>
  <c r="H29" i="17" s="1"/>
  <c r="B28" i="17"/>
  <c r="H28" i="17" s="1"/>
  <c r="B27" i="17"/>
  <c r="B26" i="17"/>
  <c r="B25" i="17"/>
  <c r="H25" i="17" s="1"/>
  <c r="B24" i="17"/>
  <c r="H24" i="17" s="1"/>
  <c r="B23" i="17"/>
  <c r="B22" i="17"/>
  <c r="B21" i="17"/>
  <c r="H21" i="17" s="1"/>
  <c r="B20" i="17"/>
  <c r="H20" i="17" s="1"/>
  <c r="B19" i="17"/>
  <c r="B18" i="17"/>
  <c r="B17" i="17"/>
  <c r="H17" i="17" s="1"/>
  <c r="B16" i="17"/>
  <c r="H16" i="17" s="1"/>
  <c r="B15" i="17"/>
  <c r="B14" i="17"/>
  <c r="B13" i="17"/>
  <c r="B12" i="17"/>
  <c r="B11" i="17"/>
  <c r="B10" i="17"/>
  <c r="H10" i="17" s="1"/>
  <c r="B9" i="17"/>
  <c r="H9" i="17" s="1"/>
  <c r="B8" i="17"/>
  <c r="B7" i="17"/>
  <c r="B6" i="17"/>
  <c r="H6" i="17" s="1"/>
  <c r="B5" i="17"/>
  <c r="H5" i="17" s="1"/>
  <c r="B4" i="17"/>
  <c r="G73" i="17"/>
  <c r="G72" i="17"/>
  <c r="H71" i="17"/>
  <c r="G71" i="17"/>
  <c r="G70" i="17"/>
  <c r="H70" i="17"/>
  <c r="G69" i="17"/>
  <c r="G68" i="17"/>
  <c r="H67" i="17"/>
  <c r="G67" i="17"/>
  <c r="G66" i="17"/>
  <c r="H66" i="17"/>
  <c r="G65" i="17"/>
  <c r="G64" i="17"/>
  <c r="H63" i="17"/>
  <c r="G63" i="17"/>
  <c r="G62" i="17"/>
  <c r="H62" i="17"/>
  <c r="G61" i="17"/>
  <c r="G60" i="17"/>
  <c r="H59" i="17"/>
  <c r="G59" i="17"/>
  <c r="G58" i="17"/>
  <c r="H58" i="17"/>
  <c r="G57" i="17"/>
  <c r="G56" i="17"/>
  <c r="H55" i="17"/>
  <c r="G55" i="17"/>
  <c r="G54" i="17"/>
  <c r="H54" i="17"/>
  <c r="G53" i="17"/>
  <c r="G52" i="17"/>
  <c r="H51" i="17"/>
  <c r="G51" i="17"/>
  <c r="G50" i="17"/>
  <c r="H50" i="17"/>
  <c r="G49" i="17"/>
  <c r="G48" i="17"/>
  <c r="H47" i="17"/>
  <c r="G47" i="17"/>
  <c r="G46" i="17"/>
  <c r="H46" i="17"/>
  <c r="G45" i="17"/>
  <c r="G44" i="17"/>
  <c r="H43" i="17"/>
  <c r="G43" i="17"/>
  <c r="G42" i="17"/>
  <c r="H42" i="17"/>
  <c r="G41" i="17"/>
  <c r="G40" i="17"/>
  <c r="H39" i="17"/>
  <c r="G39" i="17"/>
  <c r="G38" i="17"/>
  <c r="H38" i="17"/>
  <c r="G37" i="17"/>
  <c r="G36" i="17"/>
  <c r="H35" i="17"/>
  <c r="G35" i="17"/>
  <c r="G34" i="17"/>
  <c r="H34" i="17"/>
  <c r="G33" i="17"/>
  <c r="G32" i="17"/>
  <c r="H31" i="17"/>
  <c r="G31" i="17"/>
  <c r="G30" i="17"/>
  <c r="H30" i="17"/>
  <c r="G29" i="17"/>
  <c r="G28" i="17"/>
  <c r="H27" i="17"/>
  <c r="G27" i="17"/>
  <c r="G26" i="17"/>
  <c r="H26" i="17"/>
  <c r="G25" i="17"/>
  <c r="G24" i="17"/>
  <c r="H23" i="17"/>
  <c r="G23" i="17"/>
  <c r="G22" i="17"/>
  <c r="H22" i="17"/>
  <c r="G21" i="17"/>
  <c r="G20" i="17"/>
  <c r="H19" i="17"/>
  <c r="G19" i="17"/>
  <c r="G18" i="17"/>
  <c r="H18" i="17"/>
  <c r="G17" i="17"/>
  <c r="G16" i="17"/>
  <c r="H15" i="17"/>
  <c r="B15" i="19" s="1"/>
  <c r="H15" i="19" s="1"/>
  <c r="G15" i="17"/>
  <c r="H14" i="17"/>
  <c r="B14" i="19" s="1"/>
  <c r="H14" i="19" s="1"/>
  <c r="H13" i="17"/>
  <c r="G11" i="17"/>
  <c r="H11" i="17"/>
  <c r="G10" i="17"/>
  <c r="G9" i="17"/>
  <c r="H8" i="17"/>
  <c r="G8" i="17"/>
  <c r="G7" i="17"/>
  <c r="H7" i="17"/>
  <c r="G6" i="17"/>
  <c r="G5" i="17"/>
  <c r="H4" i="17"/>
  <c r="G4" i="17"/>
  <c r="H12" i="17" l="1"/>
  <c r="G12" i="17"/>
  <c r="G13" i="17"/>
  <c r="G14" i="17"/>
  <c r="I72" i="14" l="1"/>
  <c r="B73" i="16" l="1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E14" i="15"/>
  <c r="E14" i="16" l="1"/>
  <c r="E12" i="16"/>
  <c r="G12" i="16" s="1"/>
  <c r="E13" i="16"/>
  <c r="H73" i="16"/>
  <c r="G73" i="16"/>
  <c r="G72" i="16"/>
  <c r="H72" i="16"/>
  <c r="G71" i="16"/>
  <c r="H71" i="16"/>
  <c r="H70" i="16"/>
  <c r="G70" i="16"/>
  <c r="H69" i="16"/>
  <c r="G69" i="16"/>
  <c r="G68" i="16"/>
  <c r="H68" i="16"/>
  <c r="G67" i="16"/>
  <c r="H67" i="16"/>
  <c r="H66" i="16"/>
  <c r="G66" i="16"/>
  <c r="H65" i="16"/>
  <c r="G65" i="16"/>
  <c r="G64" i="16"/>
  <c r="H64" i="16"/>
  <c r="G63" i="16"/>
  <c r="H63" i="16"/>
  <c r="H62" i="16"/>
  <c r="G62" i="16"/>
  <c r="H61" i="16"/>
  <c r="G61" i="16"/>
  <c r="G60" i="16"/>
  <c r="H60" i="16"/>
  <c r="G59" i="16"/>
  <c r="H59" i="16"/>
  <c r="H58" i="16"/>
  <c r="G58" i="16"/>
  <c r="H57" i="16"/>
  <c r="G57" i="16"/>
  <c r="G56" i="16"/>
  <c r="H56" i="16"/>
  <c r="G55" i="16"/>
  <c r="H55" i="16"/>
  <c r="H54" i="16"/>
  <c r="G54" i="16"/>
  <c r="H53" i="16"/>
  <c r="G53" i="16"/>
  <c r="G52" i="16"/>
  <c r="H52" i="16"/>
  <c r="G51" i="16"/>
  <c r="H51" i="16"/>
  <c r="H50" i="16"/>
  <c r="G50" i="16"/>
  <c r="H49" i="16"/>
  <c r="G49" i="16"/>
  <c r="G48" i="16"/>
  <c r="H48" i="16"/>
  <c r="G47" i="16"/>
  <c r="H47" i="16"/>
  <c r="H46" i="16"/>
  <c r="G46" i="16"/>
  <c r="H45" i="16"/>
  <c r="G45" i="16"/>
  <c r="G44" i="16"/>
  <c r="H44" i="16"/>
  <c r="G43" i="16"/>
  <c r="H43" i="16"/>
  <c r="H42" i="16"/>
  <c r="G42" i="16"/>
  <c r="H41" i="16"/>
  <c r="G41" i="16"/>
  <c r="G40" i="16"/>
  <c r="H40" i="16"/>
  <c r="G39" i="16"/>
  <c r="H39" i="16"/>
  <c r="H38" i="16"/>
  <c r="G38" i="16"/>
  <c r="H37" i="16"/>
  <c r="G37" i="16"/>
  <c r="G36" i="16"/>
  <c r="H36" i="16"/>
  <c r="G35" i="16"/>
  <c r="H35" i="16"/>
  <c r="H34" i="16"/>
  <c r="G34" i="16"/>
  <c r="H33" i="16"/>
  <c r="G33" i="16"/>
  <c r="G32" i="16"/>
  <c r="H32" i="16"/>
  <c r="G31" i="16"/>
  <c r="H31" i="16"/>
  <c r="H30" i="16"/>
  <c r="G30" i="16"/>
  <c r="H29" i="16"/>
  <c r="G29" i="16"/>
  <c r="G28" i="16"/>
  <c r="H28" i="16"/>
  <c r="G27" i="16"/>
  <c r="H27" i="16"/>
  <c r="H26" i="16"/>
  <c r="G26" i="16"/>
  <c r="H25" i="16"/>
  <c r="G25" i="16"/>
  <c r="G24" i="16"/>
  <c r="H24" i="16"/>
  <c r="G23" i="16"/>
  <c r="H23" i="16"/>
  <c r="H22" i="16"/>
  <c r="G22" i="16"/>
  <c r="H21" i="16"/>
  <c r="G21" i="16"/>
  <c r="G20" i="16"/>
  <c r="H20" i="16"/>
  <c r="G19" i="16"/>
  <c r="H19" i="16"/>
  <c r="H18" i="16"/>
  <c r="G18" i="16"/>
  <c r="H17" i="16"/>
  <c r="G17" i="16"/>
  <c r="G16" i="16"/>
  <c r="H16" i="16"/>
  <c r="G15" i="16"/>
  <c r="H15" i="16"/>
  <c r="H14" i="16"/>
  <c r="G14" i="16"/>
  <c r="H13" i="16"/>
  <c r="G13" i="16"/>
  <c r="H12" i="16"/>
  <c r="G11" i="16"/>
  <c r="H11" i="16"/>
  <c r="H10" i="16"/>
  <c r="G10" i="16"/>
  <c r="H9" i="16"/>
  <c r="G9" i="16"/>
  <c r="G8" i="16"/>
  <c r="H8" i="16"/>
  <c r="G7" i="16"/>
  <c r="H7" i="16"/>
  <c r="H6" i="16"/>
  <c r="G6" i="16"/>
  <c r="H5" i="16"/>
  <c r="G5" i="16"/>
  <c r="G4" i="16"/>
  <c r="H4" i="16"/>
  <c r="B73" i="15"/>
  <c r="H73" i="15" s="1"/>
  <c r="B72" i="15"/>
  <c r="B71" i="15"/>
  <c r="B70" i="15"/>
  <c r="B69" i="15"/>
  <c r="H69" i="15" s="1"/>
  <c r="B68" i="15"/>
  <c r="B67" i="15"/>
  <c r="B66" i="15"/>
  <c r="B65" i="15"/>
  <c r="H65" i="15" s="1"/>
  <c r="B64" i="15"/>
  <c r="B63" i="15"/>
  <c r="B62" i="15"/>
  <c r="B61" i="15"/>
  <c r="H61" i="15" s="1"/>
  <c r="B60" i="15"/>
  <c r="B59" i="15"/>
  <c r="B58" i="15"/>
  <c r="B57" i="15"/>
  <c r="H57" i="15" s="1"/>
  <c r="B56" i="15"/>
  <c r="B55" i="15"/>
  <c r="B54" i="15"/>
  <c r="B53" i="15"/>
  <c r="H53" i="15" s="1"/>
  <c r="B52" i="15"/>
  <c r="B51" i="15"/>
  <c r="B50" i="15"/>
  <c r="B49" i="15"/>
  <c r="H49" i="15" s="1"/>
  <c r="B48" i="15"/>
  <c r="B47" i="15"/>
  <c r="B46" i="15"/>
  <c r="B45" i="15"/>
  <c r="H45" i="15" s="1"/>
  <c r="B44" i="15"/>
  <c r="B43" i="15"/>
  <c r="B42" i="15"/>
  <c r="B41" i="15"/>
  <c r="H41" i="15" s="1"/>
  <c r="B40" i="15"/>
  <c r="B39" i="15"/>
  <c r="B38" i="15"/>
  <c r="B37" i="15"/>
  <c r="H37" i="15" s="1"/>
  <c r="B36" i="15"/>
  <c r="H36" i="15" s="1"/>
  <c r="B35" i="15"/>
  <c r="B34" i="15"/>
  <c r="B33" i="15"/>
  <c r="B32" i="15"/>
  <c r="H32" i="15" s="1"/>
  <c r="B31" i="15"/>
  <c r="B30" i="15"/>
  <c r="B29" i="15"/>
  <c r="H29" i="15" s="1"/>
  <c r="B28" i="15"/>
  <c r="H28" i="15" s="1"/>
  <c r="B27" i="15"/>
  <c r="B26" i="15"/>
  <c r="B25" i="15"/>
  <c r="H25" i="15" s="1"/>
  <c r="B24" i="15"/>
  <c r="H24" i="15" s="1"/>
  <c r="B23" i="15"/>
  <c r="B22" i="15"/>
  <c r="B21" i="15"/>
  <c r="H21" i="15" s="1"/>
  <c r="B20" i="15"/>
  <c r="H20" i="15" s="1"/>
  <c r="B19" i="15"/>
  <c r="B18" i="15"/>
  <c r="B17" i="15"/>
  <c r="H17" i="15" s="1"/>
  <c r="B16" i="15"/>
  <c r="H16" i="15" s="1"/>
  <c r="B15" i="15"/>
  <c r="B14" i="15"/>
  <c r="B13" i="15"/>
  <c r="B12" i="15"/>
  <c r="H12" i="15" s="1"/>
  <c r="B11" i="15"/>
  <c r="B10" i="15"/>
  <c r="B9" i="15"/>
  <c r="B8" i="15"/>
  <c r="H8" i="15" s="1"/>
  <c r="B7" i="15"/>
  <c r="B6" i="15"/>
  <c r="B5" i="15"/>
  <c r="H5" i="15" s="1"/>
  <c r="B4" i="15"/>
  <c r="H4" i="15" s="1"/>
  <c r="G73" i="15"/>
  <c r="G72" i="15"/>
  <c r="H72" i="15"/>
  <c r="G71" i="15"/>
  <c r="H71" i="15"/>
  <c r="H70" i="15"/>
  <c r="G70" i="15"/>
  <c r="G69" i="15"/>
  <c r="G68" i="15"/>
  <c r="H68" i="15"/>
  <c r="G67" i="15"/>
  <c r="H67" i="15"/>
  <c r="H66" i="15"/>
  <c r="G66" i="15"/>
  <c r="G65" i="15"/>
  <c r="G64" i="15"/>
  <c r="H64" i="15"/>
  <c r="G63" i="15"/>
  <c r="H63" i="15"/>
  <c r="H62" i="15"/>
  <c r="G62" i="15"/>
  <c r="G61" i="15"/>
  <c r="G60" i="15"/>
  <c r="H60" i="15"/>
  <c r="G59" i="15"/>
  <c r="H59" i="15"/>
  <c r="H58" i="15"/>
  <c r="G58" i="15"/>
  <c r="G57" i="15"/>
  <c r="G56" i="15"/>
  <c r="H56" i="15"/>
  <c r="G55" i="15"/>
  <c r="H55" i="15"/>
  <c r="H54" i="15"/>
  <c r="G54" i="15"/>
  <c r="G53" i="15"/>
  <c r="G52" i="15"/>
  <c r="H52" i="15"/>
  <c r="G51" i="15"/>
  <c r="H51" i="15"/>
  <c r="H50" i="15"/>
  <c r="G50" i="15"/>
  <c r="G49" i="15"/>
  <c r="G48" i="15"/>
  <c r="H48" i="15"/>
  <c r="G47" i="15"/>
  <c r="H47" i="15"/>
  <c r="H46" i="15"/>
  <c r="G46" i="15"/>
  <c r="G45" i="15"/>
  <c r="G44" i="15"/>
  <c r="H44" i="15"/>
  <c r="G43" i="15"/>
  <c r="H43" i="15"/>
  <c r="H42" i="15"/>
  <c r="G42" i="15"/>
  <c r="G41" i="15"/>
  <c r="G40" i="15"/>
  <c r="H40" i="15"/>
  <c r="G39" i="15"/>
  <c r="H39" i="15"/>
  <c r="H38" i="15"/>
  <c r="G38" i="15"/>
  <c r="G37" i="15"/>
  <c r="G36" i="15"/>
  <c r="H35" i="15"/>
  <c r="G35" i="15"/>
  <c r="H34" i="15"/>
  <c r="G34" i="15"/>
  <c r="G33" i="15"/>
  <c r="H33" i="15"/>
  <c r="G32" i="15"/>
  <c r="H31" i="15"/>
  <c r="G31" i="15"/>
  <c r="H30" i="15"/>
  <c r="G30" i="15"/>
  <c r="G29" i="15"/>
  <c r="G28" i="15"/>
  <c r="G27" i="15"/>
  <c r="H27" i="15"/>
  <c r="G26" i="15"/>
  <c r="H26" i="15"/>
  <c r="G25" i="15"/>
  <c r="G24" i="15"/>
  <c r="G23" i="15"/>
  <c r="H23" i="15"/>
  <c r="G22" i="15"/>
  <c r="H22" i="15"/>
  <c r="G21" i="15"/>
  <c r="G20" i="15"/>
  <c r="G19" i="15"/>
  <c r="H19" i="15"/>
  <c r="G18" i="15"/>
  <c r="H18" i="15"/>
  <c r="G17" i="15"/>
  <c r="G16" i="15"/>
  <c r="G15" i="15"/>
  <c r="H15" i="15"/>
  <c r="G14" i="15"/>
  <c r="H14" i="15"/>
  <c r="G13" i="15"/>
  <c r="H13" i="15"/>
  <c r="G12" i="15"/>
  <c r="H11" i="15"/>
  <c r="G11" i="15"/>
  <c r="G10" i="15"/>
  <c r="H10" i="15"/>
  <c r="G9" i="15"/>
  <c r="H9" i="15"/>
  <c r="G8" i="15"/>
  <c r="H7" i="15"/>
  <c r="G7" i="15"/>
  <c r="G6" i="15"/>
  <c r="H6" i="15"/>
  <c r="G5" i="15"/>
  <c r="G4" i="15"/>
  <c r="G30" i="14" l="1"/>
  <c r="H30" i="14"/>
  <c r="G36" i="14"/>
  <c r="H32" i="14"/>
  <c r="G32" i="14"/>
  <c r="G52" i="14"/>
  <c r="B52" i="14"/>
  <c r="H52" i="14" s="1"/>
  <c r="H36" i="14"/>
  <c r="E14" i="14" l="1"/>
  <c r="B73" i="14"/>
  <c r="H73" i="14" s="1"/>
  <c r="B72" i="14"/>
  <c r="H72" i="14" s="1"/>
  <c r="B71" i="14"/>
  <c r="H71" i="14" s="1"/>
  <c r="B70" i="14"/>
  <c r="H70" i="14" s="1"/>
  <c r="B69" i="14"/>
  <c r="H69" i="14" s="1"/>
  <c r="B68" i="14"/>
  <c r="H68" i="14" s="1"/>
  <c r="B67" i="14"/>
  <c r="H67" i="14" s="1"/>
  <c r="B66" i="14"/>
  <c r="H66" i="14" s="1"/>
  <c r="B65" i="14"/>
  <c r="H65" i="14" s="1"/>
  <c r="B64" i="14"/>
  <c r="H64" i="14" s="1"/>
  <c r="B63" i="14"/>
  <c r="H63" i="14" s="1"/>
  <c r="B62" i="14"/>
  <c r="H62" i="14" s="1"/>
  <c r="B61" i="14"/>
  <c r="H61" i="14" s="1"/>
  <c r="B60" i="14"/>
  <c r="H60" i="14" s="1"/>
  <c r="B59" i="14"/>
  <c r="H59" i="14" s="1"/>
  <c r="B58" i="14"/>
  <c r="H58" i="14" s="1"/>
  <c r="B57" i="14"/>
  <c r="H57" i="14" s="1"/>
  <c r="B56" i="14"/>
  <c r="H56" i="14" s="1"/>
  <c r="B55" i="14"/>
  <c r="H55" i="14" s="1"/>
  <c r="B54" i="14"/>
  <c r="H54" i="14" s="1"/>
  <c r="B53" i="14"/>
  <c r="B51" i="14"/>
  <c r="H51" i="14" s="1"/>
  <c r="B50" i="14"/>
  <c r="H50" i="14" s="1"/>
  <c r="B49" i="14"/>
  <c r="H49" i="14" s="1"/>
  <c r="B48" i="14"/>
  <c r="H48" i="14" s="1"/>
  <c r="B47" i="14"/>
  <c r="H47" i="14" s="1"/>
  <c r="B46" i="14"/>
  <c r="H46" i="14" s="1"/>
  <c r="B45" i="14"/>
  <c r="H45" i="14" s="1"/>
  <c r="B44" i="14"/>
  <c r="H44" i="14" s="1"/>
  <c r="B43" i="14"/>
  <c r="H43" i="14" s="1"/>
  <c r="B42" i="14"/>
  <c r="H42" i="14" s="1"/>
  <c r="B41" i="14"/>
  <c r="H41" i="14" s="1"/>
  <c r="B40" i="14"/>
  <c r="B39" i="14"/>
  <c r="H39" i="14" s="1"/>
  <c r="B38" i="14"/>
  <c r="H38" i="14" s="1"/>
  <c r="B37" i="14"/>
  <c r="H37" i="14" s="1"/>
  <c r="B35" i="14"/>
  <c r="H35" i="14" s="1"/>
  <c r="B34" i="14"/>
  <c r="H34" i="14" s="1"/>
  <c r="B33" i="14"/>
  <c r="H33" i="14" s="1"/>
  <c r="B31" i="14"/>
  <c r="H31" i="14" s="1"/>
  <c r="B29" i="14"/>
  <c r="H29" i="14" s="1"/>
  <c r="B28" i="14"/>
  <c r="H28" i="14" s="1"/>
  <c r="B27" i="14"/>
  <c r="B26" i="14"/>
  <c r="H26" i="14" s="1"/>
  <c r="B25" i="14"/>
  <c r="H25" i="14" s="1"/>
  <c r="B24" i="14"/>
  <c r="B23" i="14"/>
  <c r="H23" i="14" s="1"/>
  <c r="B22" i="14"/>
  <c r="H22" i="14" s="1"/>
  <c r="B21" i="14"/>
  <c r="H21" i="14" s="1"/>
  <c r="B20" i="14"/>
  <c r="H20" i="14" s="1"/>
  <c r="B19" i="14"/>
  <c r="H19" i="14" s="1"/>
  <c r="B18" i="14"/>
  <c r="H18" i="14" s="1"/>
  <c r="B17" i="14"/>
  <c r="H17" i="14" s="1"/>
  <c r="B16" i="14"/>
  <c r="H16" i="14" s="1"/>
  <c r="B15" i="14"/>
  <c r="H15" i="14" s="1"/>
  <c r="B14" i="14"/>
  <c r="H14" i="14" s="1"/>
  <c r="B13" i="14"/>
  <c r="H13" i="14" s="1"/>
  <c r="B12" i="14"/>
  <c r="H12" i="14" s="1"/>
  <c r="B11" i="14"/>
  <c r="H11" i="14" s="1"/>
  <c r="B10" i="14"/>
  <c r="H10" i="14" s="1"/>
  <c r="B9" i="14"/>
  <c r="B8" i="14"/>
  <c r="H8" i="14" s="1"/>
  <c r="B7" i="14"/>
  <c r="H7" i="14" s="1"/>
  <c r="B6" i="14"/>
  <c r="H6" i="14" s="1"/>
  <c r="B5" i="14"/>
  <c r="H5" i="14" s="1"/>
  <c r="B4" i="14"/>
  <c r="H4" i="14" s="1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H53" i="14"/>
  <c r="G53" i="14"/>
  <c r="G51" i="14"/>
  <c r="G50" i="14"/>
  <c r="G49" i="14"/>
  <c r="G48" i="14"/>
  <c r="G47" i="14"/>
  <c r="G46" i="14"/>
  <c r="G45" i="14"/>
  <c r="G44" i="14"/>
  <c r="G43" i="14"/>
  <c r="G42" i="14"/>
  <c r="G41" i="14"/>
  <c r="H40" i="14"/>
  <c r="G40" i="14"/>
  <c r="G39" i="14"/>
  <c r="G38" i="14"/>
  <c r="G37" i="14"/>
  <c r="G35" i="14"/>
  <c r="G34" i="14"/>
  <c r="G33" i="14"/>
  <c r="G31" i="14"/>
  <c r="G29" i="14"/>
  <c r="G27" i="14"/>
  <c r="H27" i="14"/>
  <c r="G26" i="14"/>
  <c r="G25" i="14"/>
  <c r="H24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H9" i="14"/>
  <c r="G9" i="14"/>
  <c r="G8" i="14"/>
  <c r="G7" i="14"/>
  <c r="G6" i="14"/>
  <c r="G5" i="14"/>
  <c r="G4" i="14"/>
  <c r="G28" i="14" l="1"/>
  <c r="E26" i="13"/>
  <c r="E28" i="13"/>
  <c r="E19" i="13"/>
  <c r="E21" i="13"/>
  <c r="G36" i="13"/>
  <c r="H36" i="13"/>
  <c r="E14" i="13"/>
  <c r="B69" i="13"/>
  <c r="H69" i="13" s="1"/>
  <c r="B68" i="13"/>
  <c r="B67" i="13"/>
  <c r="H67" i="13" s="1"/>
  <c r="B66" i="13"/>
  <c r="B65" i="13"/>
  <c r="H65" i="13" s="1"/>
  <c r="B64" i="13"/>
  <c r="H64" i="13" s="1"/>
  <c r="B63" i="13"/>
  <c r="H63" i="13" s="1"/>
  <c r="B62" i="13"/>
  <c r="B61" i="13"/>
  <c r="H61" i="13" s="1"/>
  <c r="B60" i="13"/>
  <c r="B59" i="13"/>
  <c r="H59" i="13" s="1"/>
  <c r="B58" i="13"/>
  <c r="B57" i="13"/>
  <c r="H57" i="13" s="1"/>
  <c r="B56" i="13"/>
  <c r="H56" i="13" s="1"/>
  <c r="B55" i="13"/>
  <c r="H55" i="13" s="1"/>
  <c r="B54" i="13"/>
  <c r="H53" i="13"/>
  <c r="B52" i="13"/>
  <c r="B51" i="13"/>
  <c r="H51" i="13" s="1"/>
  <c r="B50" i="13"/>
  <c r="B49" i="13"/>
  <c r="H49" i="13" s="1"/>
  <c r="B48" i="13"/>
  <c r="H48" i="13" s="1"/>
  <c r="B47" i="13"/>
  <c r="H47" i="13" s="1"/>
  <c r="B46" i="13"/>
  <c r="B45" i="13"/>
  <c r="H45" i="13" s="1"/>
  <c r="B44" i="13"/>
  <c r="B43" i="13"/>
  <c r="H43" i="13" s="1"/>
  <c r="B42" i="13"/>
  <c r="B41" i="13"/>
  <c r="H41" i="13" s="1"/>
  <c r="B40" i="13"/>
  <c r="H40" i="13" s="1"/>
  <c r="B39" i="13"/>
  <c r="H39" i="13" s="1"/>
  <c r="B38" i="13"/>
  <c r="B37" i="13"/>
  <c r="H37" i="13" s="1"/>
  <c r="B35" i="13"/>
  <c r="B34" i="13"/>
  <c r="H34" i="13" s="1"/>
  <c r="B33" i="13"/>
  <c r="B32" i="13"/>
  <c r="H32" i="13" s="1"/>
  <c r="B31" i="13"/>
  <c r="H31" i="13" s="1"/>
  <c r="B30" i="13"/>
  <c r="H30" i="13" s="1"/>
  <c r="B29" i="13"/>
  <c r="B28" i="13"/>
  <c r="H28" i="13" s="1"/>
  <c r="B27" i="13"/>
  <c r="B26" i="13"/>
  <c r="B25" i="13"/>
  <c r="B24" i="13"/>
  <c r="H24" i="13" s="1"/>
  <c r="B23" i="13"/>
  <c r="H23" i="13" s="1"/>
  <c r="B22" i="13"/>
  <c r="H22" i="13" s="1"/>
  <c r="B21" i="13"/>
  <c r="B20" i="13"/>
  <c r="H20" i="13" s="1"/>
  <c r="B19" i="13"/>
  <c r="B18" i="13"/>
  <c r="H18" i="13" s="1"/>
  <c r="B17" i="13"/>
  <c r="B16" i="13"/>
  <c r="H16" i="13" s="1"/>
  <c r="B15" i="13"/>
  <c r="H15" i="13" s="1"/>
  <c r="B14" i="13"/>
  <c r="H14" i="13" s="1"/>
  <c r="B13" i="13"/>
  <c r="B12" i="13"/>
  <c r="H12" i="13" s="1"/>
  <c r="B11" i="13"/>
  <c r="H11" i="13" s="1"/>
  <c r="B10" i="13"/>
  <c r="H10" i="13" s="1"/>
  <c r="B9" i="13"/>
  <c r="B8" i="13"/>
  <c r="H8" i="13" s="1"/>
  <c r="B7" i="13"/>
  <c r="B6" i="13"/>
  <c r="H6" i="13" s="1"/>
  <c r="B5" i="13"/>
  <c r="B4" i="13"/>
  <c r="H4" i="13" s="1"/>
  <c r="G69" i="13"/>
  <c r="H68" i="13"/>
  <c r="G68" i="13"/>
  <c r="G67" i="13"/>
  <c r="G66" i="13"/>
  <c r="H66" i="13"/>
  <c r="G65" i="13"/>
  <c r="G64" i="13"/>
  <c r="G63" i="13"/>
  <c r="G62" i="13"/>
  <c r="H62" i="13"/>
  <c r="G61" i="13"/>
  <c r="H60" i="13"/>
  <c r="G60" i="13"/>
  <c r="G59" i="13"/>
  <c r="G58" i="13"/>
  <c r="H58" i="13"/>
  <c r="G57" i="13"/>
  <c r="G56" i="13"/>
  <c r="G55" i="13"/>
  <c r="G54" i="13"/>
  <c r="H54" i="13"/>
  <c r="G53" i="13"/>
  <c r="H52" i="13"/>
  <c r="G52" i="13"/>
  <c r="G51" i="13"/>
  <c r="G50" i="13"/>
  <c r="H50" i="13"/>
  <c r="G49" i="13"/>
  <c r="G48" i="13"/>
  <c r="G47" i="13"/>
  <c r="G46" i="13"/>
  <c r="H46" i="13"/>
  <c r="G45" i="13"/>
  <c r="H44" i="13"/>
  <c r="G44" i="13"/>
  <c r="G43" i="13"/>
  <c r="G42" i="13"/>
  <c r="H42" i="13"/>
  <c r="G41" i="13"/>
  <c r="G40" i="13"/>
  <c r="G39" i="13"/>
  <c r="G38" i="13"/>
  <c r="H38" i="13"/>
  <c r="G37" i="13"/>
  <c r="H35" i="13"/>
  <c r="G35" i="13"/>
  <c r="G34" i="13"/>
  <c r="G33" i="13"/>
  <c r="H33" i="13"/>
  <c r="G32" i="13"/>
  <c r="G31" i="13"/>
  <c r="G30" i="13"/>
  <c r="G29" i="13"/>
  <c r="H29" i="13"/>
  <c r="G28" i="13"/>
  <c r="H27" i="13"/>
  <c r="G27" i="13"/>
  <c r="G26" i="13"/>
  <c r="G25" i="13"/>
  <c r="H25" i="13"/>
  <c r="G24" i="13"/>
  <c r="G23" i="13"/>
  <c r="G22" i="13"/>
  <c r="G21" i="13"/>
  <c r="H21" i="13"/>
  <c r="G20" i="13"/>
  <c r="H19" i="13"/>
  <c r="G19" i="13"/>
  <c r="G18" i="13"/>
  <c r="G17" i="13"/>
  <c r="H17" i="13"/>
  <c r="G16" i="13"/>
  <c r="G15" i="13"/>
  <c r="G14" i="13"/>
  <c r="H13" i="13"/>
  <c r="G13" i="13"/>
  <c r="G12" i="13"/>
  <c r="G11" i="13"/>
  <c r="G10" i="13"/>
  <c r="H9" i="13"/>
  <c r="G9" i="13"/>
  <c r="G8" i="13"/>
  <c r="G7" i="13"/>
  <c r="H7" i="13"/>
  <c r="G6" i="13"/>
  <c r="H5" i="13"/>
  <c r="G5" i="13"/>
  <c r="G4" i="13"/>
  <c r="H26" i="13" l="1"/>
  <c r="H11" i="12"/>
  <c r="H14" i="12"/>
  <c r="E14" i="12"/>
  <c r="B68" i="12" l="1"/>
  <c r="H68" i="12" s="1"/>
  <c r="B67" i="12"/>
  <c r="H67" i="12" s="1"/>
  <c r="B66" i="12"/>
  <c r="B65" i="12"/>
  <c r="H65" i="12" s="1"/>
  <c r="B64" i="12"/>
  <c r="H64" i="12" s="1"/>
  <c r="B63" i="12"/>
  <c r="H63" i="12" s="1"/>
  <c r="B62" i="12"/>
  <c r="B61" i="12"/>
  <c r="H61" i="12" s="1"/>
  <c r="B60" i="12"/>
  <c r="H60" i="12" s="1"/>
  <c r="B59" i="12"/>
  <c r="H59" i="12" s="1"/>
  <c r="B58" i="12"/>
  <c r="B57" i="12"/>
  <c r="H57" i="12" s="1"/>
  <c r="B56" i="12"/>
  <c r="H56" i="12" s="1"/>
  <c r="B55" i="12"/>
  <c r="H55" i="12" s="1"/>
  <c r="B54" i="12"/>
  <c r="B53" i="12"/>
  <c r="H53" i="12" s="1"/>
  <c r="B52" i="12"/>
  <c r="H52" i="12" s="1"/>
  <c r="B51" i="12"/>
  <c r="H51" i="12" s="1"/>
  <c r="B50" i="12"/>
  <c r="B49" i="12"/>
  <c r="H49" i="12" s="1"/>
  <c r="B48" i="12"/>
  <c r="H48" i="12" s="1"/>
  <c r="B47" i="12"/>
  <c r="H47" i="12" s="1"/>
  <c r="B46" i="12"/>
  <c r="B45" i="12"/>
  <c r="H45" i="12" s="1"/>
  <c r="B44" i="12"/>
  <c r="H44" i="12" s="1"/>
  <c r="B43" i="12"/>
  <c r="H43" i="12" s="1"/>
  <c r="B42" i="12"/>
  <c r="B41" i="12"/>
  <c r="H41" i="12" s="1"/>
  <c r="B40" i="12"/>
  <c r="H40" i="12" s="1"/>
  <c r="B39" i="12"/>
  <c r="H39" i="12" s="1"/>
  <c r="B38" i="12"/>
  <c r="B37" i="12"/>
  <c r="H37" i="12" s="1"/>
  <c r="B36" i="12"/>
  <c r="H36" i="12" s="1"/>
  <c r="B35" i="12"/>
  <c r="H35" i="12" s="1"/>
  <c r="B34" i="12"/>
  <c r="B33" i="12"/>
  <c r="H33" i="12" s="1"/>
  <c r="B32" i="12"/>
  <c r="H32" i="12" s="1"/>
  <c r="B31" i="12"/>
  <c r="H31" i="12" s="1"/>
  <c r="B30" i="12"/>
  <c r="B29" i="12"/>
  <c r="H29" i="12" s="1"/>
  <c r="B28" i="12"/>
  <c r="H28" i="12" s="1"/>
  <c r="B27" i="12"/>
  <c r="H27" i="12" s="1"/>
  <c r="B26" i="12"/>
  <c r="B25" i="12"/>
  <c r="H25" i="12" s="1"/>
  <c r="B24" i="12"/>
  <c r="H24" i="12" s="1"/>
  <c r="B23" i="12"/>
  <c r="H23" i="12" s="1"/>
  <c r="B22" i="12"/>
  <c r="B21" i="12"/>
  <c r="H21" i="12" s="1"/>
  <c r="B20" i="12"/>
  <c r="H20" i="12" s="1"/>
  <c r="B19" i="12"/>
  <c r="H19" i="12" s="1"/>
  <c r="B18" i="12"/>
  <c r="B17" i="12"/>
  <c r="H17" i="12" s="1"/>
  <c r="B16" i="12"/>
  <c r="H16" i="12" s="1"/>
  <c r="B15" i="12"/>
  <c r="H15" i="12" s="1"/>
  <c r="B14" i="12"/>
  <c r="B13" i="12"/>
  <c r="B12" i="12"/>
  <c r="H12" i="12" s="1"/>
  <c r="B11" i="12"/>
  <c r="B10" i="12"/>
  <c r="B9" i="12"/>
  <c r="B8" i="12"/>
  <c r="H8" i="12" s="1"/>
  <c r="B6" i="12"/>
  <c r="B5" i="12"/>
  <c r="B14" i="11"/>
  <c r="B4" i="12"/>
  <c r="H66" i="12"/>
  <c r="H62" i="12"/>
  <c r="H58" i="12"/>
  <c r="H54" i="12"/>
  <c r="H50" i="12"/>
  <c r="H46" i="12"/>
  <c r="H42" i="12"/>
  <c r="H38" i="12"/>
  <c r="H34" i="12"/>
  <c r="H30" i="12"/>
  <c r="H26" i="12"/>
  <c r="H22" i="12"/>
  <c r="H18" i="12"/>
  <c r="H13" i="12"/>
  <c r="H10" i="12"/>
  <c r="H9" i="12"/>
  <c r="H6" i="12"/>
  <c r="H5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E69" i="12"/>
  <c r="G11" i="12"/>
  <c r="G10" i="12"/>
  <c r="G9" i="12"/>
  <c r="G8" i="12"/>
  <c r="G7" i="12"/>
  <c r="G6" i="12"/>
  <c r="G5" i="12"/>
  <c r="H4" i="12"/>
  <c r="G4" i="12"/>
  <c r="G12" i="12" l="1"/>
  <c r="G31" i="11"/>
  <c r="G54" i="11"/>
  <c r="H54" i="11"/>
  <c r="E12" i="11"/>
  <c r="E14" i="11"/>
  <c r="H14" i="10"/>
  <c r="B68" i="11" l="1"/>
  <c r="B67" i="11"/>
  <c r="B66" i="11"/>
  <c r="H66" i="11" s="1"/>
  <c r="B65" i="11"/>
  <c r="H65" i="11" s="1"/>
  <c r="B64" i="11"/>
  <c r="B63" i="11"/>
  <c r="H63" i="11" s="1"/>
  <c r="B62" i="11"/>
  <c r="H62" i="11" s="1"/>
  <c r="B61" i="11"/>
  <c r="H61" i="11" s="1"/>
  <c r="B60" i="11"/>
  <c r="B59" i="11"/>
  <c r="B58" i="11"/>
  <c r="H58" i="11" s="1"/>
  <c r="B57" i="11"/>
  <c r="H57" i="11" s="1"/>
  <c r="B56" i="11"/>
  <c r="B55" i="11"/>
  <c r="B53" i="11"/>
  <c r="H53" i="11" s="1"/>
  <c r="B52" i="11"/>
  <c r="H52" i="11" s="1"/>
  <c r="B51" i="11"/>
  <c r="B50" i="11"/>
  <c r="H50" i="11" s="1"/>
  <c r="B49" i="11"/>
  <c r="H49" i="11" s="1"/>
  <c r="B48" i="11"/>
  <c r="H48" i="11" s="1"/>
  <c r="B47" i="11"/>
  <c r="B46" i="11"/>
  <c r="B45" i="11"/>
  <c r="H45" i="11" s="1"/>
  <c r="B44" i="11"/>
  <c r="H44" i="11" s="1"/>
  <c r="B43" i="11"/>
  <c r="B42" i="11"/>
  <c r="H42" i="11" s="1"/>
  <c r="B41" i="11"/>
  <c r="H41" i="11" s="1"/>
  <c r="B40" i="11"/>
  <c r="H40" i="11" s="1"/>
  <c r="B39" i="11"/>
  <c r="B38" i="11"/>
  <c r="H38" i="11" s="1"/>
  <c r="B37" i="11"/>
  <c r="H37" i="11" s="1"/>
  <c r="B36" i="11"/>
  <c r="H36" i="11" s="1"/>
  <c r="B35" i="11"/>
  <c r="B34" i="11"/>
  <c r="H34" i="11" s="1"/>
  <c r="B33" i="11"/>
  <c r="H33" i="11" s="1"/>
  <c r="B32" i="11"/>
  <c r="B31" i="11"/>
  <c r="B30" i="11"/>
  <c r="H30" i="11" s="1"/>
  <c r="B29" i="11"/>
  <c r="B28" i="11"/>
  <c r="H28" i="11" s="1"/>
  <c r="B27" i="11"/>
  <c r="B26" i="11"/>
  <c r="H26" i="11" s="1"/>
  <c r="B25" i="11"/>
  <c r="H25" i="11" s="1"/>
  <c r="B24" i="11"/>
  <c r="H24" i="11" s="1"/>
  <c r="B23" i="11"/>
  <c r="B22" i="11"/>
  <c r="H22" i="11" s="1"/>
  <c r="B21" i="11"/>
  <c r="B20" i="11"/>
  <c r="H20" i="11" s="1"/>
  <c r="B19" i="11"/>
  <c r="B18" i="11"/>
  <c r="B17" i="11"/>
  <c r="H17" i="11" s="1"/>
  <c r="B16" i="11"/>
  <c r="H16" i="11" s="1"/>
  <c r="B15" i="11"/>
  <c r="H14" i="11"/>
  <c r="B13" i="11"/>
  <c r="B12" i="11"/>
  <c r="H12" i="11" s="1"/>
  <c r="B11" i="11"/>
  <c r="B10" i="11"/>
  <c r="H10" i="11" s="1"/>
  <c r="B9" i="11"/>
  <c r="B8" i="11"/>
  <c r="H8" i="11" s="1"/>
  <c r="B7" i="11"/>
  <c r="B6" i="11"/>
  <c r="H6" i="11" s="1"/>
  <c r="B5" i="11"/>
  <c r="B4" i="11"/>
  <c r="H4" i="11" s="1"/>
  <c r="G68" i="11"/>
  <c r="H68" i="11"/>
  <c r="G67" i="11"/>
  <c r="H67" i="11"/>
  <c r="G66" i="11"/>
  <c r="G65" i="11"/>
  <c r="H64" i="11"/>
  <c r="G64" i="11"/>
  <c r="G63" i="11"/>
  <c r="G62" i="11"/>
  <c r="G61" i="11"/>
  <c r="H60" i="11"/>
  <c r="G60" i="11"/>
  <c r="G59" i="11"/>
  <c r="H59" i="11"/>
  <c r="G58" i="11"/>
  <c r="G57" i="11"/>
  <c r="H56" i="11"/>
  <c r="G56" i="11"/>
  <c r="G55" i="11"/>
  <c r="H55" i="11"/>
  <c r="G53" i="11"/>
  <c r="G52" i="11"/>
  <c r="H51" i="11"/>
  <c r="G51" i="11"/>
  <c r="G50" i="11"/>
  <c r="G49" i="11"/>
  <c r="G48" i="11"/>
  <c r="H47" i="11"/>
  <c r="G47" i="11"/>
  <c r="H46" i="11"/>
  <c r="G46" i="11"/>
  <c r="G45" i="11"/>
  <c r="G44" i="11"/>
  <c r="G43" i="11"/>
  <c r="H43" i="11"/>
  <c r="G42" i="11"/>
  <c r="G41" i="11"/>
  <c r="G40" i="11"/>
  <c r="G39" i="11"/>
  <c r="H39" i="11"/>
  <c r="G38" i="11"/>
  <c r="G37" i="11"/>
  <c r="G36" i="11"/>
  <c r="G35" i="11"/>
  <c r="H35" i="11"/>
  <c r="G34" i="11"/>
  <c r="G33" i="11"/>
  <c r="G32" i="11"/>
  <c r="H32" i="11"/>
  <c r="H31" i="11"/>
  <c r="G30" i="11"/>
  <c r="H29" i="11"/>
  <c r="G29" i="11"/>
  <c r="G28" i="11"/>
  <c r="H27" i="11"/>
  <c r="G27" i="11"/>
  <c r="G26" i="11"/>
  <c r="G25" i="11"/>
  <c r="G24" i="11"/>
  <c r="H23" i="11"/>
  <c r="G23" i="11"/>
  <c r="G22" i="11"/>
  <c r="H21" i="11"/>
  <c r="G21" i="11"/>
  <c r="G20" i="11"/>
  <c r="H19" i="11"/>
  <c r="G19" i="11"/>
  <c r="H18" i="11"/>
  <c r="G18" i="11"/>
  <c r="G17" i="11"/>
  <c r="G16" i="11"/>
  <c r="H15" i="11"/>
  <c r="G15" i="11"/>
  <c r="E69" i="11"/>
  <c r="G13" i="11"/>
  <c r="H13" i="11"/>
  <c r="G12" i="11"/>
  <c r="H11" i="11"/>
  <c r="G11" i="11"/>
  <c r="G10" i="11"/>
  <c r="G9" i="11"/>
  <c r="H9" i="11"/>
  <c r="G8" i="11"/>
  <c r="H7" i="11"/>
  <c r="B7" i="12" s="1"/>
  <c r="H7" i="12" s="1"/>
  <c r="G7" i="11"/>
  <c r="G6" i="11"/>
  <c r="G5" i="11"/>
  <c r="H5" i="11"/>
  <c r="G4" i="11"/>
  <c r="G64" i="10"/>
  <c r="G52" i="10"/>
  <c r="G51" i="10"/>
  <c r="G50" i="10"/>
  <c r="G49" i="10"/>
  <c r="G48" i="10"/>
  <c r="G47" i="10"/>
  <c r="G14" i="11" l="1"/>
  <c r="H29" i="9"/>
  <c r="H30" i="9"/>
  <c r="H31" i="9"/>
  <c r="B32" i="10" s="1"/>
  <c r="H32" i="10" s="1"/>
  <c r="H32" i="9"/>
  <c r="H33" i="9"/>
  <c r="H34" i="9"/>
  <c r="H35" i="9"/>
  <c r="B36" i="10" s="1"/>
  <c r="H36" i="10" s="1"/>
  <c r="H36" i="9"/>
  <c r="H37" i="9"/>
  <c r="H38" i="9"/>
  <c r="H39" i="9"/>
  <c r="B40" i="10" s="1"/>
  <c r="H40" i="10" s="1"/>
  <c r="H40" i="9"/>
  <c r="H41" i="9"/>
  <c r="H42" i="9"/>
  <c r="H43" i="9"/>
  <c r="B44" i="10" s="1"/>
  <c r="H44" i="10" s="1"/>
  <c r="H44" i="9"/>
  <c r="H45" i="9"/>
  <c r="H46" i="9"/>
  <c r="H47" i="9"/>
  <c r="B49" i="10" s="1"/>
  <c r="H49" i="10" s="1"/>
  <c r="H48" i="9"/>
  <c r="H49" i="9"/>
  <c r="H50" i="9"/>
  <c r="H51" i="9"/>
  <c r="B54" i="10" s="1"/>
  <c r="H54" i="10" s="1"/>
  <c r="H52" i="9"/>
  <c r="H53" i="9"/>
  <c r="H54" i="9"/>
  <c r="H55" i="9"/>
  <c r="B58" i="10" s="1"/>
  <c r="H58" i="10" s="1"/>
  <c r="H56" i="9"/>
  <c r="H57" i="9"/>
  <c r="H58" i="9"/>
  <c r="H59" i="9"/>
  <c r="B62" i="10" s="1"/>
  <c r="H62" i="10" s="1"/>
  <c r="H60" i="9"/>
  <c r="H61" i="9"/>
  <c r="H65" i="9"/>
  <c r="H66" i="9"/>
  <c r="H47" i="10"/>
  <c r="H31" i="10"/>
  <c r="H52" i="10"/>
  <c r="H64" i="10"/>
  <c r="H18" i="10"/>
  <c r="G67" i="10"/>
  <c r="G66" i="10"/>
  <c r="G65" i="10"/>
  <c r="G63" i="10"/>
  <c r="G62" i="10"/>
  <c r="G61" i="10"/>
  <c r="G60" i="10"/>
  <c r="G59" i="10"/>
  <c r="G58" i="10"/>
  <c r="G57" i="10"/>
  <c r="G56" i="10"/>
  <c r="G55" i="10"/>
  <c r="G54" i="10"/>
  <c r="G53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E14" i="10"/>
  <c r="G14" i="10" s="1"/>
  <c r="H28" i="10"/>
  <c r="H27" i="10"/>
  <c r="H26" i="10"/>
  <c r="H24" i="10"/>
  <c r="H23" i="10"/>
  <c r="H19" i="10"/>
  <c r="B67" i="10"/>
  <c r="H67" i="10" s="1"/>
  <c r="B66" i="10"/>
  <c r="H66" i="10" s="1"/>
  <c r="B65" i="10"/>
  <c r="H65" i="10" s="1"/>
  <c r="H63" i="10"/>
  <c r="B61" i="10"/>
  <c r="H61" i="10" s="1"/>
  <c r="H60" i="10"/>
  <c r="B59" i="10"/>
  <c r="H59" i="10" s="1"/>
  <c r="B57" i="10"/>
  <c r="H57" i="10" s="1"/>
  <c r="B56" i="10"/>
  <c r="H56" i="10" s="1"/>
  <c r="B55" i="10"/>
  <c r="H55" i="10" s="1"/>
  <c r="B53" i="10"/>
  <c r="H53" i="10" s="1"/>
  <c r="H51" i="10"/>
  <c r="B50" i="10"/>
  <c r="H50" i="10" s="1"/>
  <c r="B48" i="10"/>
  <c r="H48" i="10" s="1"/>
  <c r="H46" i="10"/>
  <c r="H45" i="10"/>
  <c r="B43" i="10"/>
  <c r="H43" i="10" s="1"/>
  <c r="B42" i="10"/>
  <c r="H42" i="10" s="1"/>
  <c r="B41" i="10"/>
  <c r="H41" i="10" s="1"/>
  <c r="B39" i="10"/>
  <c r="H39" i="10" s="1"/>
  <c r="B38" i="10"/>
  <c r="H38" i="10" s="1"/>
  <c r="B37" i="10"/>
  <c r="H37" i="10" s="1"/>
  <c r="B35" i="10"/>
  <c r="H35" i="10" s="1"/>
  <c r="B34" i="10"/>
  <c r="H34" i="10" s="1"/>
  <c r="H33" i="10"/>
  <c r="B30" i="10"/>
  <c r="H30" i="10" s="1"/>
  <c r="H29" i="10"/>
  <c r="G17" i="10"/>
  <c r="G16" i="10"/>
  <c r="G15" i="10"/>
  <c r="G13" i="10"/>
  <c r="G12" i="10"/>
  <c r="G11" i="10"/>
  <c r="G10" i="10"/>
  <c r="G8" i="10"/>
  <c r="G7" i="10"/>
  <c r="G6" i="10"/>
  <c r="G5" i="10"/>
  <c r="G4" i="10"/>
  <c r="E68" i="10" l="1"/>
  <c r="G9" i="10"/>
  <c r="H28" i="9"/>
  <c r="H17" i="8"/>
  <c r="H18" i="9"/>
  <c r="H27" i="9"/>
  <c r="H26" i="9"/>
  <c r="H25" i="9"/>
  <c r="B25" i="10" s="1"/>
  <c r="H25" i="10" s="1"/>
  <c r="H24" i="9"/>
  <c r="H23" i="9"/>
  <c r="H22" i="9"/>
  <c r="B22" i="10" s="1"/>
  <c r="H22" i="10" s="1"/>
  <c r="H21" i="9"/>
  <c r="B21" i="10" s="1"/>
  <c r="H21" i="10" s="1"/>
  <c r="H20" i="9"/>
  <c r="B20" i="10" s="1"/>
  <c r="H20" i="10" s="1"/>
  <c r="H19" i="9"/>
  <c r="G13" i="9" l="1"/>
  <c r="E9" i="9"/>
  <c r="G9" i="9" s="1"/>
  <c r="B17" i="9"/>
  <c r="H17" i="9" s="1"/>
  <c r="B17" i="10" s="1"/>
  <c r="H17" i="10" s="1"/>
  <c r="B16" i="9"/>
  <c r="H16" i="9" s="1"/>
  <c r="B16" i="10" s="1"/>
  <c r="H16" i="10" s="1"/>
  <c r="B15" i="9"/>
  <c r="H15" i="9" s="1"/>
  <c r="B15" i="10" s="1"/>
  <c r="H15" i="10" s="1"/>
  <c r="B14" i="9"/>
  <c r="H14" i="9" s="1"/>
  <c r="B14" i="10" s="1"/>
  <c r="B13" i="9"/>
  <c r="H13" i="9" s="1"/>
  <c r="B13" i="10" s="1"/>
  <c r="H13" i="10" s="1"/>
  <c r="B12" i="9"/>
  <c r="H12" i="9" s="1"/>
  <c r="B12" i="10" s="1"/>
  <c r="H12" i="10" s="1"/>
  <c r="B11" i="9"/>
  <c r="H11" i="9" s="1"/>
  <c r="B11" i="10" s="1"/>
  <c r="H11" i="10" s="1"/>
  <c r="B10" i="9"/>
  <c r="H10" i="9" s="1"/>
  <c r="B10" i="10" s="1"/>
  <c r="H10" i="10" s="1"/>
  <c r="B9" i="9"/>
  <c r="H9" i="9" s="1"/>
  <c r="B9" i="10" s="1"/>
  <c r="H9" i="10" s="1"/>
  <c r="B8" i="9"/>
  <c r="H8" i="9" s="1"/>
  <c r="B8" i="10" s="1"/>
  <c r="H8" i="10" s="1"/>
  <c r="B7" i="9"/>
  <c r="H7" i="9" s="1"/>
  <c r="B7" i="10" s="1"/>
  <c r="H7" i="10" s="1"/>
  <c r="B6" i="9"/>
  <c r="H6" i="9" s="1"/>
  <c r="B6" i="10" s="1"/>
  <c r="H6" i="10" s="1"/>
  <c r="B5" i="9"/>
  <c r="H5" i="9" s="1"/>
  <c r="B5" i="10" s="1"/>
  <c r="H5" i="10" s="1"/>
  <c r="B4" i="9"/>
  <c r="H4" i="9" s="1"/>
  <c r="B4" i="10" s="1"/>
  <c r="H4" i="10" s="1"/>
  <c r="G17" i="9"/>
  <c r="G16" i="9"/>
  <c r="G15" i="9"/>
  <c r="G12" i="9"/>
  <c r="G11" i="9"/>
  <c r="G10" i="9"/>
  <c r="G8" i="9"/>
  <c r="G7" i="9"/>
  <c r="G6" i="9"/>
  <c r="G5" i="9"/>
  <c r="G4" i="9"/>
  <c r="G14" i="9" l="1"/>
  <c r="E67" i="9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J14" i="8"/>
  <c r="B17" i="8" l="1"/>
  <c r="B16" i="8"/>
  <c r="B15" i="8"/>
  <c r="B14" i="8"/>
  <c r="H14" i="8" s="1"/>
  <c r="B13" i="8"/>
  <c r="B12" i="8"/>
  <c r="B11" i="8"/>
  <c r="B10" i="8"/>
  <c r="H10" i="8" s="1"/>
  <c r="B9" i="8"/>
  <c r="B8" i="8"/>
  <c r="B7" i="8"/>
  <c r="B6" i="8"/>
  <c r="H6" i="8" s="1"/>
  <c r="B5" i="8"/>
  <c r="B4" i="8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H14" i="6"/>
  <c r="H17" i="6"/>
  <c r="H16" i="6"/>
  <c r="H15" i="6"/>
  <c r="H13" i="6"/>
  <c r="H12" i="6"/>
  <c r="H11" i="6"/>
  <c r="H10" i="6"/>
  <c r="H9" i="6"/>
  <c r="H8" i="6"/>
  <c r="H7" i="6"/>
  <c r="H6" i="6"/>
  <c r="H5" i="6"/>
  <c r="H4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H14" i="4"/>
  <c r="H17" i="4"/>
  <c r="H16" i="4"/>
  <c r="H15" i="4"/>
  <c r="H13" i="4"/>
  <c r="H12" i="4"/>
  <c r="H11" i="4"/>
  <c r="H10" i="4"/>
  <c r="H9" i="4"/>
  <c r="H8" i="4"/>
  <c r="H7" i="4"/>
  <c r="H6" i="4"/>
  <c r="H5" i="4"/>
  <c r="H4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H14" i="3"/>
  <c r="H17" i="3"/>
  <c r="H16" i="3"/>
  <c r="H15" i="3"/>
  <c r="H13" i="3"/>
  <c r="H12" i="3"/>
  <c r="H11" i="3"/>
  <c r="H10" i="3"/>
  <c r="H9" i="3"/>
  <c r="H8" i="3"/>
  <c r="H7" i="3"/>
  <c r="H6" i="3"/>
  <c r="H5" i="3"/>
  <c r="H4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H13" i="1"/>
  <c r="H16" i="1"/>
  <c r="H18" i="1"/>
  <c r="H21" i="1"/>
  <c r="H19" i="1"/>
  <c r="H8" i="1"/>
  <c r="H20" i="1"/>
  <c r="H17" i="1"/>
  <c r="H15" i="1"/>
  <c r="H14" i="1"/>
  <c r="H12" i="1"/>
  <c r="H11" i="1"/>
  <c r="H10" i="1"/>
  <c r="H9" i="1"/>
  <c r="E39" i="8"/>
  <c r="H16" i="8"/>
  <c r="H15" i="8"/>
  <c r="H13" i="8"/>
  <c r="H12" i="8"/>
  <c r="H11" i="8"/>
  <c r="H9" i="8"/>
  <c r="H8" i="8"/>
  <c r="H7" i="8"/>
  <c r="H5" i="8"/>
  <c r="H4" i="8"/>
  <c r="E39" i="7"/>
  <c r="E39" i="6"/>
  <c r="E39" i="5"/>
  <c r="E39" i="4"/>
  <c r="E39" i="3"/>
  <c r="E39" i="2"/>
  <c r="A3" i="1" l="1"/>
  <c r="E18" i="1" l="1"/>
  <c r="E43" i="1" l="1"/>
</calcChain>
</file>

<file path=xl/sharedStrings.xml><?xml version="1.0" encoding="utf-8"?>
<sst xmlns="http://schemas.openxmlformats.org/spreadsheetml/2006/main" count="2053" uniqueCount="104">
  <si>
    <t>MOIS DE OCTOBRE</t>
  </si>
  <si>
    <t xml:space="preserve">DESCRIPTION </t>
  </si>
  <si>
    <t xml:space="preserve">TOTAL </t>
  </si>
  <si>
    <t>STOCK</t>
  </si>
  <si>
    <t>STOCK INT</t>
  </si>
  <si>
    <t>DOUBLE FACE</t>
  </si>
  <si>
    <t>SCOTCHE</t>
  </si>
  <si>
    <t>FEUILLARD N12</t>
  </si>
  <si>
    <t>FEUILLARD N5</t>
  </si>
  <si>
    <t>CELOPHANE 7</t>
  </si>
  <si>
    <t>CELOPHANE 16</t>
  </si>
  <si>
    <t>COLLE</t>
  </si>
  <si>
    <t>SEL</t>
  </si>
  <si>
    <t>BORAX</t>
  </si>
  <si>
    <t>AMIDON</t>
  </si>
  <si>
    <t>SOUDE</t>
  </si>
  <si>
    <t>ANALYFLIX</t>
  </si>
  <si>
    <t>UNITE</t>
  </si>
  <si>
    <t>KG</t>
  </si>
  <si>
    <t>RECEPTION</t>
  </si>
  <si>
    <t>FIL RECUIT</t>
  </si>
  <si>
    <t>ROULEAU</t>
  </si>
  <si>
    <t>L</t>
  </si>
  <si>
    <t>CELOPHANE 25</t>
  </si>
  <si>
    <t>VALEUR</t>
  </si>
  <si>
    <t xml:space="preserve">PRIX </t>
  </si>
  <si>
    <t>SORTIER</t>
  </si>
  <si>
    <t>JAUNE 109</t>
  </si>
  <si>
    <t>JAUNE PROCESS</t>
  </si>
  <si>
    <t>BLEU CYAN C</t>
  </si>
  <si>
    <t>BLEU REFLEX</t>
  </si>
  <si>
    <t>BLEU 295 C</t>
  </si>
  <si>
    <t>BLEU BADIRA C</t>
  </si>
  <si>
    <t>BLEU 2765 C</t>
  </si>
  <si>
    <t>BLEU 3557</t>
  </si>
  <si>
    <t>MARRON 7570</t>
  </si>
  <si>
    <t>MARRON 876</t>
  </si>
  <si>
    <t>MARRON 476</t>
  </si>
  <si>
    <t>MARRON BEJE</t>
  </si>
  <si>
    <t>MARRON 7502</t>
  </si>
  <si>
    <t>MARRON FONCE</t>
  </si>
  <si>
    <t>VIOLET 254</t>
  </si>
  <si>
    <t>VIOLET 2371</t>
  </si>
  <si>
    <t>ROUGE 3546</t>
  </si>
  <si>
    <t>ROUGE SIPA</t>
  </si>
  <si>
    <t>ROSE</t>
  </si>
  <si>
    <t>VERT 375</t>
  </si>
  <si>
    <t>VERT 356</t>
  </si>
  <si>
    <t>VERT 342</t>
  </si>
  <si>
    <t>MAGENTA</t>
  </si>
  <si>
    <t>GOLD 4007</t>
  </si>
  <si>
    <t>GOLD 872</t>
  </si>
  <si>
    <t>GRIS877</t>
  </si>
  <si>
    <t>GRIS07</t>
  </si>
  <si>
    <t>GRIS ARGANT</t>
  </si>
  <si>
    <t>ORANGE 21</t>
  </si>
  <si>
    <t>ORANGE 153</t>
  </si>
  <si>
    <t>ORANGE 166</t>
  </si>
  <si>
    <t>NOIR PROCESS</t>
  </si>
  <si>
    <t>P200</t>
  </si>
  <si>
    <t>JAUNE MP</t>
  </si>
  <si>
    <t>BLUE MP</t>
  </si>
  <si>
    <t>MAGENTA MP</t>
  </si>
  <si>
    <t>NOIR MP</t>
  </si>
  <si>
    <t>ROUGE MP</t>
  </si>
  <si>
    <t>BLANC MP</t>
  </si>
  <si>
    <t>ORANGE MP</t>
  </si>
  <si>
    <t>VERT MP</t>
  </si>
  <si>
    <t>VIOLET MP</t>
  </si>
  <si>
    <t>VERNICH GLOSS</t>
  </si>
  <si>
    <t>VERNICH CX3</t>
  </si>
  <si>
    <t>NOIR COUCHE</t>
  </si>
  <si>
    <t>VERT 356 C</t>
  </si>
  <si>
    <t xml:space="preserve">BLEU CYAN </t>
  </si>
  <si>
    <t>ROUGE 2347</t>
  </si>
  <si>
    <t>VERT 342 C</t>
  </si>
  <si>
    <t xml:space="preserve">BLEU BADIRA </t>
  </si>
  <si>
    <t>BLEU REFLEX COUCHE</t>
  </si>
  <si>
    <t>ROUGE 2347 COUCHE</t>
  </si>
  <si>
    <t>JAUNE PROCESS C</t>
  </si>
  <si>
    <t>JAUNE 4018</t>
  </si>
  <si>
    <t xml:space="preserve">PONTON 137 </t>
  </si>
  <si>
    <t>MOIS</t>
  </si>
  <si>
    <t>JANVIER</t>
  </si>
  <si>
    <t>MARS</t>
  </si>
  <si>
    <t>MAI</t>
  </si>
  <si>
    <t>JUIN</t>
  </si>
  <si>
    <t>AOUT</t>
  </si>
  <si>
    <t>RECAP DE CONSOMATION M C D'ANNEE 2025</t>
  </si>
  <si>
    <t xml:space="preserve">FEV </t>
  </si>
  <si>
    <t>AVR</t>
  </si>
  <si>
    <t xml:space="preserve">JUILLET </t>
  </si>
  <si>
    <t>SEPT</t>
  </si>
  <si>
    <t>OCT</t>
  </si>
  <si>
    <t>NOV</t>
  </si>
  <si>
    <t>DEC</t>
  </si>
  <si>
    <t>PONTON 235 C</t>
  </si>
  <si>
    <t>JAUNE 4020</t>
  </si>
  <si>
    <t>COLLE KG</t>
  </si>
  <si>
    <t>CELOPHANE 7KG</t>
  </si>
  <si>
    <t>CELOPHANE 16KG</t>
  </si>
  <si>
    <t>ANALY FIX</t>
  </si>
  <si>
    <t>BLEU 282 U</t>
  </si>
  <si>
    <t>ROUGE 2343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</si>
</sst>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0">
    <xf numFmtId="0" fontId="0" fillId="0" borderId="0" xfId="0"/>
    <xf numFmtId="16" fontId="1" fillId="3" borderId="4" xfId="0" applyNumberFormat="1" applyFont="1" applyFill="1" applyBorder="1" applyAlignment="1">
      <alignment horizontal="center" vertical="center"/>
    </xf>
    <xf numFmtId="16" fontId="1" fillId="4" borderId="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16" fontId="1" fillId="3" borderId="3" xfId="0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1" fillId="4" borderId="3" xfId="1" applyNumberFormat="1" applyFont="1" applyFill="1" applyBorder="1" applyAlignment="1">
      <alignment horizontal="center"/>
    </xf>
    <xf numFmtId="164" fontId="1" fillId="0" borderId="3" xfId="1" applyNumberFormat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4" fontId="6" fillId="8" borderId="3" xfId="0" applyNumberFormat="1" applyFont="1" applyFill="1" applyBorder="1" applyAlignment="1">
      <alignment horizontal="center"/>
    </xf>
    <xf numFmtId="164" fontId="1" fillId="4" borderId="3" xfId="1" applyNumberFormat="1" applyFont="1" applyFill="1" applyBorder="1" applyAlignment="1">
      <alignment horizontal="center" vertical="center"/>
    </xf>
    <xf numFmtId="164" fontId="1" fillId="0" borderId="3" xfId="1" applyNumberFormat="1" applyFont="1" applyBorder="1" applyAlignment="1"/>
    <xf numFmtId="164" fontId="1" fillId="4" borderId="3" xfId="1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4" fillId="2" borderId="5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TAT%20JOURNALIER%20FOS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VIER"/>
      <sheetName val="FEVRIER"/>
      <sheetName val="MARS"/>
      <sheetName val="AVRIL"/>
      <sheetName val="MAI"/>
      <sheetName val="JUIN"/>
      <sheetName val="JUIL"/>
      <sheetName val="AOUT"/>
      <sheetName val="SEPT"/>
      <sheetName val="OCTO"/>
      <sheetName val="NOVEM"/>
      <sheetName val="RECAP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3"/>
  <sheetViews>
    <sheetView topLeftCell="A4" workbookViewId="0">
      <selection activeCell="F8" sqref="F8:G21"/>
    </sheetView>
  </sheetViews>
  <sheetFormatPr baseColWidth="10" defaultRowHeight="15" x14ac:dyDescent="0.25"/>
  <cols>
    <col min="1" max="1" width="17.42578125" customWidth="1"/>
    <col min="2" max="2" width="10.5703125" customWidth="1"/>
    <col min="3" max="3" width="11" customWidth="1"/>
    <col min="4" max="4" width="9.7109375" customWidth="1"/>
    <col min="5" max="6" width="9.140625" customWidth="1"/>
    <col min="7" max="7" width="9.5703125" customWidth="1"/>
  </cols>
  <sheetData>
    <row r="2" spans="1:8" ht="15.75" thickBot="1" x14ac:dyDescent="0.3"/>
    <row r="3" spans="1:8" x14ac:dyDescent="0.25">
      <c r="A3">
        <f>104+88+36</f>
        <v>228</v>
      </c>
      <c r="E3" s="25"/>
      <c r="F3" s="25"/>
      <c r="G3" s="25"/>
    </row>
    <row r="4" spans="1:8" x14ac:dyDescent="0.25">
      <c r="E4" s="26"/>
      <c r="F4" s="26"/>
      <c r="G4" s="26"/>
    </row>
    <row r="5" spans="1:8" ht="15" customHeight="1" x14ac:dyDescent="0.25">
      <c r="A5" s="29" t="s">
        <v>0</v>
      </c>
      <c r="B5" s="30"/>
      <c r="C5" s="30"/>
      <c r="D5" s="30"/>
      <c r="E5" s="30"/>
      <c r="F5" s="30"/>
      <c r="G5" s="30"/>
    </row>
    <row r="6" spans="1:8" ht="15.75" x14ac:dyDescent="0.25">
      <c r="A6" s="27" t="s">
        <v>1</v>
      </c>
      <c r="B6" s="31">
        <v>45943</v>
      </c>
      <c r="C6" s="32"/>
      <c r="D6" s="32"/>
      <c r="E6" s="32"/>
      <c r="F6" s="32"/>
      <c r="G6" s="32"/>
      <c r="H6" s="33"/>
    </row>
    <row r="7" spans="1:8" x14ac:dyDescent="0.25">
      <c r="A7" s="28"/>
      <c r="B7" s="9" t="s">
        <v>4</v>
      </c>
      <c r="C7" s="9" t="s">
        <v>19</v>
      </c>
      <c r="D7" s="9" t="s">
        <v>17</v>
      </c>
      <c r="E7" s="2" t="s">
        <v>26</v>
      </c>
      <c r="F7" s="2" t="s">
        <v>25</v>
      </c>
      <c r="G7" s="2" t="s">
        <v>24</v>
      </c>
      <c r="H7" s="1" t="s">
        <v>3</v>
      </c>
    </row>
    <row r="8" spans="1:8" x14ac:dyDescent="0.25">
      <c r="A8" s="3" t="s">
        <v>5</v>
      </c>
      <c r="B8" s="5">
        <v>86</v>
      </c>
      <c r="C8" s="5"/>
      <c r="D8" s="5" t="s">
        <v>21</v>
      </c>
      <c r="E8" s="6">
        <v>6</v>
      </c>
      <c r="F8" s="4">
        <v>230.62</v>
      </c>
      <c r="G8" s="4">
        <f>E8*F8</f>
        <v>1383.72</v>
      </c>
      <c r="H8" s="5">
        <f>B8-E8</f>
        <v>80</v>
      </c>
    </row>
    <row r="9" spans="1:8" x14ac:dyDescent="0.25">
      <c r="A9" s="3" t="s">
        <v>6</v>
      </c>
      <c r="B9" s="5">
        <v>78</v>
      </c>
      <c r="C9" s="5"/>
      <c r="D9" s="5" t="s">
        <v>21</v>
      </c>
      <c r="E9" s="6"/>
      <c r="F9" s="4">
        <v>91.2</v>
      </c>
      <c r="G9" s="4">
        <f t="shared" ref="G9:G21" si="0">E9*F9</f>
        <v>0</v>
      </c>
      <c r="H9" s="5">
        <f t="shared" ref="H9:H20" si="1">B9-E9</f>
        <v>78</v>
      </c>
    </row>
    <row r="10" spans="1:8" x14ac:dyDescent="0.25">
      <c r="A10" s="3" t="s">
        <v>7</v>
      </c>
      <c r="B10" s="5">
        <v>238</v>
      </c>
      <c r="C10" s="5"/>
      <c r="D10" s="5" t="s">
        <v>21</v>
      </c>
      <c r="E10" s="6"/>
      <c r="F10" s="4">
        <v>3500</v>
      </c>
      <c r="G10" s="4">
        <f t="shared" si="0"/>
        <v>0</v>
      </c>
      <c r="H10" s="5">
        <f t="shared" si="1"/>
        <v>238</v>
      </c>
    </row>
    <row r="11" spans="1:8" x14ac:dyDescent="0.25">
      <c r="A11" s="3" t="s">
        <v>8</v>
      </c>
      <c r="B11" s="5">
        <v>25</v>
      </c>
      <c r="C11" s="5"/>
      <c r="D11" s="5" t="s">
        <v>21</v>
      </c>
      <c r="E11" s="6"/>
      <c r="F11" s="4">
        <v>3300</v>
      </c>
      <c r="G11" s="4">
        <f t="shared" si="0"/>
        <v>0</v>
      </c>
      <c r="H11" s="5">
        <f t="shared" si="1"/>
        <v>25</v>
      </c>
    </row>
    <row r="12" spans="1:8" x14ac:dyDescent="0.25">
      <c r="A12" s="3" t="s">
        <v>9</v>
      </c>
      <c r="B12" s="5">
        <v>65</v>
      </c>
      <c r="C12" s="5"/>
      <c r="D12" s="5" t="s">
        <v>21</v>
      </c>
      <c r="E12" s="6">
        <v>1</v>
      </c>
      <c r="F12" s="4">
        <v>1554.62</v>
      </c>
      <c r="G12" s="4">
        <f t="shared" si="0"/>
        <v>1554.62</v>
      </c>
      <c r="H12" s="5">
        <f t="shared" si="1"/>
        <v>64</v>
      </c>
    </row>
    <row r="13" spans="1:8" x14ac:dyDescent="0.25">
      <c r="A13" s="3" t="s">
        <v>10</v>
      </c>
      <c r="B13" s="5">
        <v>384</v>
      </c>
      <c r="C13" s="5">
        <v>2220</v>
      </c>
      <c r="D13" s="5" t="s">
        <v>18</v>
      </c>
      <c r="E13" s="6"/>
      <c r="F13" s="4">
        <v>210</v>
      </c>
      <c r="G13" s="4">
        <f t="shared" si="0"/>
        <v>0</v>
      </c>
      <c r="H13" s="5">
        <f>B13-E13+C13</f>
        <v>2604</v>
      </c>
    </row>
    <row r="14" spans="1:8" x14ac:dyDescent="0.25">
      <c r="A14" s="3" t="s">
        <v>23</v>
      </c>
      <c r="B14" s="5">
        <v>24</v>
      </c>
      <c r="C14" s="5"/>
      <c r="D14" s="5" t="s">
        <v>18</v>
      </c>
      <c r="E14" s="6"/>
      <c r="F14" s="4"/>
      <c r="G14" s="4">
        <f t="shared" si="0"/>
        <v>0</v>
      </c>
      <c r="H14" s="5">
        <f t="shared" si="1"/>
        <v>24</v>
      </c>
    </row>
    <row r="15" spans="1:8" x14ac:dyDescent="0.25">
      <c r="A15" s="3" t="s">
        <v>11</v>
      </c>
      <c r="B15" s="5">
        <v>1620</v>
      </c>
      <c r="C15" s="5"/>
      <c r="D15" s="5" t="s">
        <v>18</v>
      </c>
      <c r="E15" s="6">
        <v>30</v>
      </c>
      <c r="F15" s="4">
        <v>290</v>
      </c>
      <c r="G15" s="4">
        <f t="shared" si="0"/>
        <v>8700</v>
      </c>
      <c r="H15" s="5">
        <f t="shared" si="1"/>
        <v>1590</v>
      </c>
    </row>
    <row r="16" spans="1:8" x14ac:dyDescent="0.25">
      <c r="A16" s="3" t="s">
        <v>12</v>
      </c>
      <c r="B16" s="5">
        <v>750</v>
      </c>
      <c r="C16" s="5">
        <v>2450</v>
      </c>
      <c r="D16" s="5" t="s">
        <v>18</v>
      </c>
      <c r="E16" s="6">
        <v>50</v>
      </c>
      <c r="F16" s="4">
        <v>49.5</v>
      </c>
      <c r="G16" s="4">
        <f t="shared" si="0"/>
        <v>2475</v>
      </c>
      <c r="H16" s="5">
        <f>B16-E16+C16</f>
        <v>3150</v>
      </c>
    </row>
    <row r="17" spans="1:8" x14ac:dyDescent="0.25">
      <c r="A17" s="3" t="s">
        <v>13</v>
      </c>
      <c r="B17" s="5">
        <v>525</v>
      </c>
      <c r="C17" s="5"/>
      <c r="D17" s="5" t="s">
        <v>18</v>
      </c>
      <c r="E17" s="6"/>
      <c r="F17" s="4">
        <v>285</v>
      </c>
      <c r="G17" s="4">
        <f t="shared" si="0"/>
        <v>0</v>
      </c>
      <c r="H17" s="5">
        <f t="shared" si="1"/>
        <v>525</v>
      </c>
    </row>
    <row r="18" spans="1:8" x14ac:dyDescent="0.25">
      <c r="A18" s="3" t="s">
        <v>14</v>
      </c>
      <c r="B18" s="5">
        <v>24000</v>
      </c>
      <c r="C18" s="5">
        <v>25000</v>
      </c>
      <c r="D18" s="5" t="s">
        <v>18</v>
      </c>
      <c r="E18" s="6">
        <f>50*25</f>
        <v>1250</v>
      </c>
      <c r="F18" s="4">
        <v>93</v>
      </c>
      <c r="G18" s="4">
        <f t="shared" si="0"/>
        <v>116250</v>
      </c>
      <c r="H18" s="5">
        <f>B18-E18+C18</f>
        <v>47750</v>
      </c>
    </row>
    <row r="19" spans="1:8" x14ac:dyDescent="0.25">
      <c r="A19" s="3" t="s">
        <v>15</v>
      </c>
      <c r="B19" s="5">
        <v>3000</v>
      </c>
      <c r="C19" s="5"/>
      <c r="D19" s="5" t="s">
        <v>18</v>
      </c>
      <c r="E19" s="6">
        <v>28</v>
      </c>
      <c r="F19" s="4">
        <v>67.23</v>
      </c>
      <c r="G19" s="4">
        <f t="shared" si="0"/>
        <v>1882.44</v>
      </c>
      <c r="H19" s="5">
        <f>B19-E19</f>
        <v>2972</v>
      </c>
    </row>
    <row r="20" spans="1:8" x14ac:dyDescent="0.25">
      <c r="A20" s="3" t="s">
        <v>16</v>
      </c>
      <c r="B20" s="5">
        <v>375</v>
      </c>
      <c r="C20" s="5"/>
      <c r="D20" s="5" t="s">
        <v>22</v>
      </c>
      <c r="E20" s="6"/>
      <c r="F20" s="4">
        <v>480</v>
      </c>
      <c r="G20" s="4">
        <f t="shared" si="0"/>
        <v>0</v>
      </c>
      <c r="H20" s="5">
        <f t="shared" si="1"/>
        <v>375</v>
      </c>
    </row>
    <row r="21" spans="1:8" x14ac:dyDescent="0.25">
      <c r="A21" s="3" t="s">
        <v>20</v>
      </c>
      <c r="B21" s="5">
        <v>1</v>
      </c>
      <c r="C21" s="5">
        <v>30</v>
      </c>
      <c r="D21" s="5" t="s">
        <v>21</v>
      </c>
      <c r="E21" s="6"/>
      <c r="F21" s="4"/>
      <c r="G21" s="4">
        <f t="shared" si="0"/>
        <v>0</v>
      </c>
      <c r="H21" s="5">
        <f>B21-E21+C21</f>
        <v>31</v>
      </c>
    </row>
    <row r="22" spans="1:8" x14ac:dyDescent="0.25">
      <c r="A22" s="3"/>
      <c r="B22" s="5"/>
      <c r="C22" s="5"/>
      <c r="D22" s="5"/>
      <c r="E22" s="6"/>
      <c r="F22" s="6"/>
      <c r="G22" s="6"/>
      <c r="H22" s="5"/>
    </row>
    <row r="23" spans="1:8" x14ac:dyDescent="0.25">
      <c r="A23" s="3"/>
      <c r="B23" s="5"/>
      <c r="C23" s="5"/>
      <c r="D23" s="5"/>
      <c r="E23" s="6"/>
      <c r="F23" s="6"/>
      <c r="G23" s="6"/>
      <c r="H23" s="5"/>
    </row>
    <row r="24" spans="1:8" x14ac:dyDescent="0.25">
      <c r="A24" s="3"/>
      <c r="B24" s="5"/>
      <c r="C24" s="5"/>
      <c r="D24" s="5"/>
      <c r="E24" s="6"/>
      <c r="F24" s="6"/>
      <c r="G24" s="6"/>
      <c r="H24" s="5"/>
    </row>
    <row r="25" spans="1:8" x14ac:dyDescent="0.25">
      <c r="A25" s="3"/>
      <c r="B25" s="5"/>
      <c r="C25" s="5"/>
      <c r="D25" s="5"/>
      <c r="E25" s="6"/>
      <c r="F25" s="6"/>
      <c r="G25" s="6"/>
      <c r="H25" s="5"/>
    </row>
    <row r="26" spans="1:8" x14ac:dyDescent="0.25">
      <c r="A26" s="3"/>
      <c r="B26" s="5"/>
      <c r="C26" s="5"/>
      <c r="D26" s="5"/>
      <c r="E26" s="6"/>
      <c r="F26" s="6"/>
      <c r="G26" s="6"/>
      <c r="H26" s="5"/>
    </row>
    <row r="27" spans="1:8" x14ac:dyDescent="0.25">
      <c r="A27" s="3"/>
      <c r="B27" s="5"/>
      <c r="C27" s="5"/>
      <c r="D27" s="5"/>
      <c r="E27" s="6"/>
      <c r="F27" s="6"/>
      <c r="G27" s="6"/>
      <c r="H27" s="5"/>
    </row>
    <row r="28" spans="1:8" x14ac:dyDescent="0.25">
      <c r="A28" s="3"/>
      <c r="B28" s="5"/>
      <c r="C28" s="5"/>
      <c r="D28" s="5"/>
      <c r="E28" s="6"/>
      <c r="F28" s="6"/>
      <c r="G28" s="6"/>
      <c r="H28" s="5"/>
    </row>
    <row r="29" spans="1:8" x14ac:dyDescent="0.25">
      <c r="A29" s="3"/>
      <c r="B29" s="5"/>
      <c r="C29" s="5"/>
      <c r="D29" s="5"/>
      <c r="E29" s="6"/>
      <c r="F29" s="6"/>
      <c r="G29" s="6"/>
      <c r="H29" s="5"/>
    </row>
    <row r="30" spans="1:8" x14ac:dyDescent="0.25">
      <c r="A30" s="3"/>
      <c r="B30" s="5"/>
      <c r="C30" s="5"/>
      <c r="D30" s="5"/>
      <c r="E30" s="6"/>
      <c r="F30" s="6"/>
      <c r="G30" s="6"/>
      <c r="H30" s="5"/>
    </row>
    <row r="31" spans="1:8" x14ac:dyDescent="0.25">
      <c r="A31" s="3"/>
      <c r="B31" s="5"/>
      <c r="C31" s="5"/>
      <c r="D31" s="5"/>
      <c r="E31" s="6"/>
      <c r="F31" s="6"/>
      <c r="G31" s="6"/>
      <c r="H31" s="5"/>
    </row>
    <row r="32" spans="1:8" x14ac:dyDescent="0.25">
      <c r="A32" s="3"/>
      <c r="B32" s="5"/>
      <c r="C32" s="5"/>
      <c r="D32" s="5"/>
      <c r="E32" s="6"/>
      <c r="F32" s="6"/>
      <c r="G32" s="6"/>
      <c r="H32" s="5"/>
    </row>
    <row r="33" spans="1:8" x14ac:dyDescent="0.25">
      <c r="A33" s="3"/>
      <c r="B33" s="5"/>
      <c r="C33" s="5"/>
      <c r="D33" s="5"/>
      <c r="E33" s="6"/>
      <c r="F33" s="6"/>
      <c r="G33" s="6"/>
      <c r="H33" s="5"/>
    </row>
    <row r="34" spans="1:8" x14ac:dyDescent="0.25">
      <c r="A34" s="3"/>
      <c r="B34" s="5"/>
      <c r="C34" s="5"/>
      <c r="D34" s="5"/>
      <c r="E34" s="6"/>
      <c r="F34" s="6"/>
      <c r="G34" s="6"/>
      <c r="H34" s="5"/>
    </row>
    <row r="35" spans="1:8" x14ac:dyDescent="0.25">
      <c r="A35" s="3"/>
      <c r="B35" s="5"/>
      <c r="C35" s="5"/>
      <c r="D35" s="5"/>
      <c r="E35" s="6"/>
      <c r="F35" s="6"/>
      <c r="G35" s="6"/>
      <c r="H35" s="5"/>
    </row>
    <row r="36" spans="1:8" x14ac:dyDescent="0.25">
      <c r="A36" s="3"/>
      <c r="B36" s="5"/>
      <c r="C36" s="5"/>
      <c r="D36" s="5"/>
      <c r="E36" s="6"/>
      <c r="F36" s="6"/>
      <c r="G36" s="6"/>
      <c r="H36" s="5"/>
    </row>
    <row r="37" spans="1:8" x14ac:dyDescent="0.25">
      <c r="A37" s="3"/>
      <c r="B37" s="5"/>
      <c r="C37" s="5"/>
      <c r="D37" s="5"/>
      <c r="E37" s="6"/>
      <c r="F37" s="6"/>
      <c r="G37" s="6"/>
      <c r="H37" s="5"/>
    </row>
    <row r="38" spans="1:8" x14ac:dyDescent="0.25">
      <c r="A38" s="3"/>
      <c r="B38" s="5"/>
      <c r="C38" s="5"/>
      <c r="D38" s="5"/>
      <c r="E38" s="6"/>
      <c r="F38" s="6"/>
      <c r="G38" s="6"/>
      <c r="H38" s="5"/>
    </row>
    <row r="39" spans="1:8" x14ac:dyDescent="0.25">
      <c r="A39" s="3"/>
      <c r="B39" s="5"/>
      <c r="C39" s="5"/>
      <c r="D39" s="5"/>
      <c r="E39" s="6"/>
      <c r="F39" s="6"/>
      <c r="G39" s="6"/>
      <c r="H39" s="5"/>
    </row>
    <row r="40" spans="1:8" x14ac:dyDescent="0.25">
      <c r="A40" s="3"/>
      <c r="B40" s="5"/>
      <c r="C40" s="5"/>
      <c r="D40" s="5"/>
      <c r="E40" s="6"/>
      <c r="F40" s="6"/>
      <c r="G40" s="6"/>
      <c r="H40" s="5"/>
    </row>
    <row r="41" spans="1:8" x14ac:dyDescent="0.25">
      <c r="A41" s="3"/>
      <c r="B41" s="5"/>
      <c r="C41" s="5"/>
      <c r="D41" s="5"/>
      <c r="E41" s="6"/>
      <c r="F41" s="6"/>
      <c r="G41" s="6"/>
      <c r="H41" s="5"/>
    </row>
    <row r="42" spans="1:8" x14ac:dyDescent="0.25">
      <c r="A42" s="3"/>
      <c r="B42" s="5"/>
      <c r="C42" s="5"/>
      <c r="D42" s="5"/>
      <c r="E42" s="6"/>
      <c r="F42" s="6"/>
      <c r="G42" s="6"/>
      <c r="H42" s="5"/>
    </row>
    <row r="43" spans="1:8" ht="18.75" x14ac:dyDescent="0.3">
      <c r="A43" s="7" t="s">
        <v>2</v>
      </c>
      <c r="B43" s="7"/>
      <c r="C43" s="7"/>
      <c r="D43" s="7"/>
      <c r="E43" s="8">
        <f t="shared" ref="E43" si="2">SUM(E8:E41)</f>
        <v>1365</v>
      </c>
      <c r="F43" s="8"/>
      <c r="G43" s="8"/>
      <c r="H43" s="8"/>
    </row>
  </sheetData>
  <mergeCells count="4">
    <mergeCell ref="E3:G4"/>
    <mergeCell ref="A6:A7"/>
    <mergeCell ref="A5:G5"/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9"/>
  <sheetViews>
    <sheetView workbookViewId="0">
      <selection activeCell="C9" sqref="C9:C17"/>
    </sheetView>
  </sheetViews>
  <sheetFormatPr baseColWidth="10" defaultRowHeight="15" x14ac:dyDescent="0.25"/>
  <cols>
    <col min="1" max="1" width="16.28515625" customWidth="1"/>
  </cols>
  <sheetData>
    <row r="2" spans="1:8" ht="15.75" x14ac:dyDescent="0.25">
      <c r="A2" s="27" t="s">
        <v>1</v>
      </c>
      <c r="B2" s="31">
        <v>45944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3" t="s">
        <v>5</v>
      </c>
      <c r="B4" s="5">
        <f>+'1310'!H8</f>
        <v>80</v>
      </c>
      <c r="C4" s="5"/>
      <c r="D4" s="5" t="s">
        <v>21</v>
      </c>
      <c r="E4" s="4">
        <v>3</v>
      </c>
      <c r="F4" s="4">
        <v>230.62</v>
      </c>
      <c r="G4" s="4">
        <f>E4*F4</f>
        <v>691.86</v>
      </c>
      <c r="H4" s="5">
        <f>B4-E4</f>
        <v>77</v>
      </c>
    </row>
    <row r="5" spans="1:8" x14ac:dyDescent="0.25">
      <c r="A5" s="3" t="s">
        <v>6</v>
      </c>
      <c r="B5" s="5">
        <f>+'1310'!H9</f>
        <v>78</v>
      </c>
      <c r="C5" s="5"/>
      <c r="D5" s="5" t="s">
        <v>21</v>
      </c>
      <c r="E5" s="4"/>
      <c r="F5" s="4">
        <v>91.2</v>
      </c>
      <c r="G5" s="4">
        <f t="shared" ref="G5:G17" si="0">E5*F5</f>
        <v>0</v>
      </c>
      <c r="H5" s="5">
        <f t="shared" ref="H5:H17" si="1">B5-E5</f>
        <v>78</v>
      </c>
    </row>
    <row r="6" spans="1:8" x14ac:dyDescent="0.25">
      <c r="A6" s="3" t="s">
        <v>7</v>
      </c>
      <c r="B6" s="5">
        <f>+'1310'!H10</f>
        <v>238</v>
      </c>
      <c r="C6" s="5"/>
      <c r="D6" s="5" t="s">
        <v>21</v>
      </c>
      <c r="E6" s="4">
        <v>3</v>
      </c>
      <c r="F6" s="4">
        <v>3500</v>
      </c>
      <c r="G6" s="4">
        <f t="shared" si="0"/>
        <v>10500</v>
      </c>
      <c r="H6" s="5">
        <f t="shared" si="1"/>
        <v>235</v>
      </c>
    </row>
    <row r="7" spans="1:8" x14ac:dyDescent="0.25">
      <c r="A7" s="3" t="s">
        <v>8</v>
      </c>
      <c r="B7" s="5">
        <f>+'1310'!H11</f>
        <v>25</v>
      </c>
      <c r="C7" s="5"/>
      <c r="D7" s="5" t="s">
        <v>21</v>
      </c>
      <c r="E7" s="4">
        <v>1</v>
      </c>
      <c r="F7" s="4">
        <v>3300</v>
      </c>
      <c r="G7" s="4">
        <f t="shared" si="0"/>
        <v>3300</v>
      </c>
      <c r="H7" s="5">
        <f t="shared" si="1"/>
        <v>24</v>
      </c>
    </row>
    <row r="8" spans="1:8" x14ac:dyDescent="0.25">
      <c r="A8" s="3" t="s">
        <v>9</v>
      </c>
      <c r="B8" s="5">
        <f>+'1310'!H12</f>
        <v>64</v>
      </c>
      <c r="C8" s="5"/>
      <c r="D8" s="5" t="s">
        <v>21</v>
      </c>
      <c r="E8" s="4">
        <v>1</v>
      </c>
      <c r="F8" s="4">
        <v>1554.62</v>
      </c>
      <c r="G8" s="4">
        <f t="shared" si="0"/>
        <v>1554.62</v>
      </c>
      <c r="H8" s="5">
        <f t="shared" si="1"/>
        <v>63</v>
      </c>
    </row>
    <row r="9" spans="1:8" x14ac:dyDescent="0.25">
      <c r="A9" s="3" t="s">
        <v>10</v>
      </c>
      <c r="B9" s="5">
        <f>+'1310'!H13</f>
        <v>2604</v>
      </c>
      <c r="C9" s="5"/>
      <c r="D9" s="5" t="s">
        <v>18</v>
      </c>
      <c r="E9" s="4">
        <v>32</v>
      </c>
      <c r="F9" s="4">
        <v>210</v>
      </c>
      <c r="G9" s="4">
        <f t="shared" si="0"/>
        <v>6720</v>
      </c>
      <c r="H9" s="5">
        <f t="shared" si="1"/>
        <v>2572</v>
      </c>
    </row>
    <row r="10" spans="1:8" x14ac:dyDescent="0.25">
      <c r="A10" s="3" t="s">
        <v>23</v>
      </c>
      <c r="B10" s="5">
        <f>+'1310'!H14</f>
        <v>24</v>
      </c>
      <c r="C10" s="5"/>
      <c r="D10" s="5" t="s">
        <v>18</v>
      </c>
      <c r="E10" s="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3" t="s">
        <v>11</v>
      </c>
      <c r="B11" s="5">
        <f>+'1310'!H15</f>
        <v>1590</v>
      </c>
      <c r="C11" s="5"/>
      <c r="D11" s="5" t="s">
        <v>18</v>
      </c>
      <c r="E11" s="4">
        <v>30</v>
      </c>
      <c r="F11" s="4">
        <v>290</v>
      </c>
      <c r="G11" s="4">
        <f t="shared" si="0"/>
        <v>8700</v>
      </c>
      <c r="H11" s="5">
        <f t="shared" si="1"/>
        <v>1560</v>
      </c>
    </row>
    <row r="12" spans="1:8" x14ac:dyDescent="0.25">
      <c r="A12" s="3" t="s">
        <v>12</v>
      </c>
      <c r="B12" s="5">
        <f>+'1310'!H16</f>
        <v>3150</v>
      </c>
      <c r="C12" s="5"/>
      <c r="D12" s="5" t="s">
        <v>18</v>
      </c>
      <c r="E12" s="4">
        <v>75</v>
      </c>
      <c r="F12" s="4">
        <v>49.5</v>
      </c>
      <c r="G12" s="4">
        <f t="shared" si="0"/>
        <v>3712.5</v>
      </c>
      <c r="H12" s="5">
        <f t="shared" si="1"/>
        <v>3075</v>
      </c>
    </row>
    <row r="13" spans="1:8" x14ac:dyDescent="0.25">
      <c r="A13" s="3" t="s">
        <v>13</v>
      </c>
      <c r="B13" s="5">
        <f>+'1310'!H17</f>
        <v>525</v>
      </c>
      <c r="C13" s="5"/>
      <c r="D13" s="5" t="s">
        <v>18</v>
      </c>
      <c r="E13" s="4"/>
      <c r="F13" s="4">
        <v>285</v>
      </c>
      <c r="G13" s="4">
        <f t="shared" si="0"/>
        <v>0</v>
      </c>
      <c r="H13" s="5">
        <f t="shared" si="1"/>
        <v>525</v>
      </c>
    </row>
    <row r="14" spans="1:8" x14ac:dyDescent="0.25">
      <c r="A14" s="3" t="s">
        <v>14</v>
      </c>
      <c r="B14" s="5">
        <f>+'1310'!H18</f>
        <v>47750</v>
      </c>
      <c r="C14" s="5"/>
      <c r="D14" s="5" t="s">
        <v>18</v>
      </c>
      <c r="E14" s="4">
        <v>750</v>
      </c>
      <c r="F14" s="4">
        <v>93</v>
      </c>
      <c r="G14" s="4">
        <f t="shared" si="0"/>
        <v>69750</v>
      </c>
      <c r="H14" s="5">
        <f t="shared" si="1"/>
        <v>47000</v>
      </c>
    </row>
    <row r="15" spans="1:8" x14ac:dyDescent="0.25">
      <c r="A15" s="3" t="s">
        <v>15</v>
      </c>
      <c r="B15" s="5">
        <f>+'1310'!H19</f>
        <v>2972</v>
      </c>
      <c r="C15" s="5"/>
      <c r="D15" s="5" t="s">
        <v>18</v>
      </c>
      <c r="E15" s="4">
        <v>42</v>
      </c>
      <c r="F15" s="4">
        <v>67.23</v>
      </c>
      <c r="G15" s="4">
        <f t="shared" si="0"/>
        <v>2823.6600000000003</v>
      </c>
      <c r="H15" s="5">
        <f t="shared" si="1"/>
        <v>2930</v>
      </c>
    </row>
    <row r="16" spans="1:8" x14ac:dyDescent="0.25">
      <c r="A16" s="3" t="s">
        <v>16</v>
      </c>
      <c r="B16" s="5">
        <f>+'1310'!H20</f>
        <v>375</v>
      </c>
      <c r="C16" s="5"/>
      <c r="D16" s="5" t="s">
        <v>22</v>
      </c>
      <c r="E16" s="4"/>
      <c r="F16" s="4">
        <v>480</v>
      </c>
      <c r="G16" s="4">
        <f t="shared" si="0"/>
        <v>0</v>
      </c>
      <c r="H16" s="5">
        <f t="shared" si="1"/>
        <v>375</v>
      </c>
    </row>
    <row r="17" spans="1:8" x14ac:dyDescent="0.25">
      <c r="A17" s="3" t="s">
        <v>20</v>
      </c>
      <c r="B17" s="5">
        <f>+'1310'!H21</f>
        <v>31</v>
      </c>
      <c r="C17" s="5"/>
      <c r="D17" s="5" t="s">
        <v>21</v>
      </c>
      <c r="E17" s="4"/>
      <c r="F17" s="4"/>
      <c r="G17" s="4">
        <f t="shared" si="0"/>
        <v>0</v>
      </c>
      <c r="H17" s="5">
        <f t="shared" si="1"/>
        <v>31</v>
      </c>
    </row>
    <row r="18" spans="1:8" x14ac:dyDescent="0.25">
      <c r="A18" s="3"/>
      <c r="B18" s="5"/>
      <c r="C18" s="5"/>
      <c r="D18" s="5"/>
      <c r="E18" s="4"/>
      <c r="F18" s="4"/>
      <c r="G18" s="4"/>
      <c r="H18" s="5"/>
    </row>
    <row r="19" spans="1:8" x14ac:dyDescent="0.25">
      <c r="A19" s="3"/>
      <c r="B19" s="5"/>
      <c r="C19" s="5"/>
      <c r="D19" s="5"/>
      <c r="E19" s="4"/>
      <c r="F19" s="4"/>
      <c r="G19" s="4"/>
      <c r="H19" s="5"/>
    </row>
    <row r="20" spans="1:8" x14ac:dyDescent="0.25">
      <c r="A20" s="3"/>
      <c r="B20" s="5"/>
      <c r="C20" s="5"/>
      <c r="D20" s="5"/>
      <c r="E20" s="4"/>
      <c r="F20" s="4"/>
      <c r="G20" s="4"/>
      <c r="H20" s="5"/>
    </row>
    <row r="21" spans="1:8" x14ac:dyDescent="0.25">
      <c r="A21" s="3"/>
      <c r="B21" s="5"/>
      <c r="C21" s="5"/>
      <c r="D21" s="5"/>
      <c r="E21" s="4"/>
      <c r="F21" s="4"/>
      <c r="G21" s="4"/>
      <c r="H21" s="5"/>
    </row>
    <row r="22" spans="1:8" x14ac:dyDescent="0.25">
      <c r="A22" s="3"/>
      <c r="B22" s="5"/>
      <c r="C22" s="5"/>
      <c r="D22" s="5"/>
      <c r="E22" s="4"/>
      <c r="F22" s="4"/>
      <c r="G22" s="4"/>
      <c r="H22" s="5"/>
    </row>
    <row r="23" spans="1:8" x14ac:dyDescent="0.25">
      <c r="A23" s="3"/>
      <c r="B23" s="5"/>
      <c r="C23" s="5"/>
      <c r="D23" s="5"/>
      <c r="E23" s="4"/>
      <c r="F23" s="4"/>
      <c r="G23" s="4"/>
      <c r="H23" s="5"/>
    </row>
    <row r="24" spans="1:8" x14ac:dyDescent="0.25">
      <c r="A24" s="3"/>
      <c r="B24" s="5"/>
      <c r="C24" s="5"/>
      <c r="D24" s="5"/>
      <c r="E24" s="4"/>
      <c r="F24" s="4"/>
      <c r="G24" s="4"/>
      <c r="H24" s="5"/>
    </row>
    <row r="25" spans="1:8" x14ac:dyDescent="0.25">
      <c r="A25" s="3"/>
      <c r="B25" s="5"/>
      <c r="C25" s="5"/>
      <c r="D25" s="5"/>
      <c r="E25" s="4"/>
      <c r="F25" s="4"/>
      <c r="G25" s="4"/>
      <c r="H25" s="5"/>
    </row>
    <row r="26" spans="1:8" x14ac:dyDescent="0.25">
      <c r="A26" s="3"/>
      <c r="B26" s="5"/>
      <c r="C26" s="5"/>
      <c r="D26" s="5"/>
      <c r="E26" s="4"/>
      <c r="F26" s="4"/>
      <c r="G26" s="4"/>
      <c r="H26" s="5"/>
    </row>
    <row r="27" spans="1:8" x14ac:dyDescent="0.25">
      <c r="A27" s="3"/>
      <c r="B27" s="5"/>
      <c r="C27" s="5"/>
      <c r="D27" s="5"/>
      <c r="E27" s="4"/>
      <c r="F27" s="4"/>
      <c r="G27" s="4"/>
      <c r="H27" s="5"/>
    </row>
    <row r="28" spans="1:8" x14ac:dyDescent="0.25">
      <c r="A28" s="3"/>
      <c r="B28" s="5"/>
      <c r="C28" s="5"/>
      <c r="D28" s="5"/>
      <c r="E28" s="4"/>
      <c r="F28" s="4"/>
      <c r="G28" s="4"/>
      <c r="H28" s="5"/>
    </row>
    <row r="29" spans="1:8" x14ac:dyDescent="0.25">
      <c r="A29" s="3"/>
      <c r="B29" s="5"/>
      <c r="C29" s="5"/>
      <c r="D29" s="5"/>
      <c r="E29" s="4"/>
      <c r="F29" s="4"/>
      <c r="G29" s="4"/>
      <c r="H29" s="5"/>
    </row>
    <row r="30" spans="1:8" x14ac:dyDescent="0.25">
      <c r="A30" s="3"/>
      <c r="B30" s="5"/>
      <c r="C30" s="5"/>
      <c r="D30" s="5"/>
      <c r="E30" s="4"/>
      <c r="F30" s="4"/>
      <c r="G30" s="4"/>
      <c r="H30" s="5"/>
    </row>
    <row r="31" spans="1:8" x14ac:dyDescent="0.25">
      <c r="A31" s="3"/>
      <c r="B31" s="5"/>
      <c r="C31" s="5"/>
      <c r="D31" s="5"/>
      <c r="E31" s="4"/>
      <c r="F31" s="4"/>
      <c r="G31" s="4"/>
      <c r="H31" s="5"/>
    </row>
    <row r="32" spans="1:8" x14ac:dyDescent="0.25">
      <c r="A32" s="3"/>
      <c r="B32" s="5"/>
      <c r="C32" s="5"/>
      <c r="D32" s="5"/>
      <c r="E32" s="4"/>
      <c r="F32" s="4"/>
      <c r="G32" s="4"/>
      <c r="H32" s="5"/>
    </row>
    <row r="33" spans="1:8" x14ac:dyDescent="0.25">
      <c r="A33" s="3"/>
      <c r="B33" s="5"/>
      <c r="C33" s="5"/>
      <c r="D33" s="5"/>
      <c r="E33" s="4"/>
      <c r="F33" s="4"/>
      <c r="G33" s="4"/>
      <c r="H33" s="5"/>
    </row>
    <row r="34" spans="1:8" x14ac:dyDescent="0.25">
      <c r="A34" s="3"/>
      <c r="B34" s="5"/>
      <c r="C34" s="5"/>
      <c r="D34" s="5"/>
      <c r="E34" s="4"/>
      <c r="F34" s="4"/>
      <c r="G34" s="4"/>
      <c r="H34" s="5"/>
    </row>
    <row r="35" spans="1:8" x14ac:dyDescent="0.25">
      <c r="A35" s="3"/>
      <c r="B35" s="5"/>
      <c r="C35" s="5"/>
      <c r="D35" s="5"/>
      <c r="E35" s="4"/>
      <c r="F35" s="4"/>
      <c r="G35" s="4"/>
      <c r="H35" s="5"/>
    </row>
    <row r="36" spans="1:8" x14ac:dyDescent="0.25">
      <c r="A36" s="3"/>
      <c r="B36" s="5"/>
      <c r="C36" s="5"/>
      <c r="D36" s="5"/>
      <c r="E36" s="4"/>
      <c r="F36" s="4"/>
      <c r="G36" s="4"/>
      <c r="H36" s="5"/>
    </row>
    <row r="37" spans="1:8" x14ac:dyDescent="0.25">
      <c r="A37" s="3"/>
      <c r="B37" s="5"/>
      <c r="C37" s="5"/>
      <c r="D37" s="5"/>
      <c r="E37" s="4"/>
      <c r="F37" s="4"/>
      <c r="G37" s="4"/>
      <c r="H37" s="5"/>
    </row>
    <row r="38" spans="1:8" x14ac:dyDescent="0.25">
      <c r="A38" s="3"/>
      <c r="B38" s="5"/>
      <c r="C38" s="5"/>
      <c r="D38" s="5"/>
      <c r="E38" s="4"/>
      <c r="F38" s="4"/>
      <c r="G38" s="4"/>
      <c r="H38" s="5"/>
    </row>
    <row r="39" spans="1:8" ht="18.75" x14ac:dyDescent="0.3">
      <c r="A39" s="7" t="s">
        <v>2</v>
      </c>
      <c r="B39" s="8"/>
      <c r="C39" s="7"/>
      <c r="D39" s="7"/>
      <c r="E39" s="8">
        <f>SUM(E4:E37)</f>
        <v>937</v>
      </c>
      <c r="F39" s="8"/>
      <c r="G39" s="8"/>
      <c r="H39" s="8"/>
    </row>
  </sheetData>
  <mergeCells count="2">
    <mergeCell ref="A2:A3"/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9"/>
  <sheetViews>
    <sheetView workbookViewId="0">
      <selection activeCell="C9" sqref="C9:C17"/>
    </sheetView>
  </sheetViews>
  <sheetFormatPr baseColWidth="10" defaultRowHeight="15" x14ac:dyDescent="0.25"/>
  <cols>
    <col min="1" max="1" width="14.5703125" customWidth="1"/>
  </cols>
  <sheetData>
    <row r="2" spans="1:8" ht="15.75" x14ac:dyDescent="0.25">
      <c r="A2" s="27" t="s">
        <v>1</v>
      </c>
      <c r="B2" s="31">
        <v>45945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3" t="s">
        <v>5</v>
      </c>
      <c r="B4" s="5">
        <f>+'1410'!H4</f>
        <v>77</v>
      </c>
      <c r="C4" s="5"/>
      <c r="D4" s="5" t="s">
        <v>21</v>
      </c>
      <c r="E4" s="4">
        <v>3</v>
      </c>
      <c r="F4" s="4">
        <v>230.62</v>
      </c>
      <c r="G4" s="4">
        <f>E4*F4</f>
        <v>691.86</v>
      </c>
      <c r="H4" s="5">
        <f>B4-E4</f>
        <v>74</v>
      </c>
    </row>
    <row r="5" spans="1:8" x14ac:dyDescent="0.25">
      <c r="A5" s="3" t="s">
        <v>6</v>
      </c>
      <c r="B5" s="5">
        <f>+'1410'!H5</f>
        <v>78</v>
      </c>
      <c r="C5" s="5"/>
      <c r="D5" s="5" t="s">
        <v>21</v>
      </c>
      <c r="E5" s="4"/>
      <c r="F5" s="4">
        <v>91.2</v>
      </c>
      <c r="G5" s="4">
        <f t="shared" ref="G5:G17" si="0">E5*F5</f>
        <v>0</v>
      </c>
      <c r="H5" s="5">
        <f t="shared" ref="H5:H17" si="1">B5-E5</f>
        <v>78</v>
      </c>
    </row>
    <row r="6" spans="1:8" x14ac:dyDescent="0.25">
      <c r="A6" s="3" t="s">
        <v>7</v>
      </c>
      <c r="B6" s="5">
        <f>+'1410'!H6</f>
        <v>235</v>
      </c>
      <c r="C6" s="5"/>
      <c r="D6" s="5" t="s">
        <v>21</v>
      </c>
      <c r="E6" s="4">
        <v>2</v>
      </c>
      <c r="F6" s="4">
        <v>3500</v>
      </c>
      <c r="G6" s="4">
        <f t="shared" si="0"/>
        <v>7000</v>
      </c>
      <c r="H6" s="5">
        <f t="shared" si="1"/>
        <v>233</v>
      </c>
    </row>
    <row r="7" spans="1:8" x14ac:dyDescent="0.25">
      <c r="A7" s="3" t="s">
        <v>8</v>
      </c>
      <c r="B7" s="5">
        <f>+'1410'!H7</f>
        <v>24</v>
      </c>
      <c r="C7" s="5"/>
      <c r="D7" s="5" t="s">
        <v>21</v>
      </c>
      <c r="E7" s="4">
        <v>2</v>
      </c>
      <c r="F7" s="4">
        <v>3300</v>
      </c>
      <c r="G7" s="4">
        <f t="shared" si="0"/>
        <v>6600</v>
      </c>
      <c r="H7" s="5">
        <f t="shared" si="1"/>
        <v>22</v>
      </c>
    </row>
    <row r="8" spans="1:8" x14ac:dyDescent="0.25">
      <c r="A8" s="3" t="s">
        <v>9</v>
      </c>
      <c r="B8" s="5">
        <f>+'1410'!H8</f>
        <v>63</v>
      </c>
      <c r="C8" s="5"/>
      <c r="D8" s="5" t="s">
        <v>21</v>
      </c>
      <c r="E8" s="4">
        <v>4</v>
      </c>
      <c r="F8" s="4">
        <v>1554.62</v>
      </c>
      <c r="G8" s="4">
        <f t="shared" si="0"/>
        <v>6218.48</v>
      </c>
      <c r="H8" s="5">
        <f t="shared" si="1"/>
        <v>59</v>
      </c>
    </row>
    <row r="9" spans="1:8" x14ac:dyDescent="0.25">
      <c r="A9" s="3" t="s">
        <v>10</v>
      </c>
      <c r="B9" s="5">
        <f>+'1410'!H9</f>
        <v>2572</v>
      </c>
      <c r="C9" s="5"/>
      <c r="D9" s="5" t="s">
        <v>18</v>
      </c>
      <c r="E9" s="4">
        <v>16</v>
      </c>
      <c r="F9" s="4">
        <v>210</v>
      </c>
      <c r="G9" s="4">
        <f t="shared" si="0"/>
        <v>3360</v>
      </c>
      <c r="H9" s="5">
        <f t="shared" si="1"/>
        <v>2556</v>
      </c>
    </row>
    <row r="10" spans="1:8" x14ac:dyDescent="0.25">
      <c r="A10" s="3" t="s">
        <v>23</v>
      </c>
      <c r="B10" s="5">
        <f>+'1410'!H10</f>
        <v>24</v>
      </c>
      <c r="C10" s="5"/>
      <c r="D10" s="5" t="s">
        <v>18</v>
      </c>
      <c r="E10" s="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3" t="s">
        <v>11</v>
      </c>
      <c r="B11" s="5">
        <f>+'1410'!H11</f>
        <v>1560</v>
      </c>
      <c r="C11" s="5"/>
      <c r="D11" s="5" t="s">
        <v>18</v>
      </c>
      <c r="E11" s="4">
        <v>60</v>
      </c>
      <c r="F11" s="4">
        <v>290</v>
      </c>
      <c r="G11" s="4">
        <f t="shared" si="0"/>
        <v>17400</v>
      </c>
      <c r="H11" s="5">
        <f t="shared" si="1"/>
        <v>1500</v>
      </c>
    </row>
    <row r="12" spans="1:8" x14ac:dyDescent="0.25">
      <c r="A12" s="3" t="s">
        <v>12</v>
      </c>
      <c r="B12" s="5">
        <f>+'1410'!H12</f>
        <v>3075</v>
      </c>
      <c r="C12" s="5"/>
      <c r="D12" s="5" t="s">
        <v>18</v>
      </c>
      <c r="E12" s="4">
        <v>50</v>
      </c>
      <c r="F12" s="4">
        <v>49.5</v>
      </c>
      <c r="G12" s="4">
        <f t="shared" si="0"/>
        <v>2475</v>
      </c>
      <c r="H12" s="5">
        <f t="shared" si="1"/>
        <v>3025</v>
      </c>
    </row>
    <row r="13" spans="1:8" x14ac:dyDescent="0.25">
      <c r="A13" s="3" t="s">
        <v>13</v>
      </c>
      <c r="B13" s="5">
        <f>+'1410'!H13</f>
        <v>525</v>
      </c>
      <c r="C13" s="5"/>
      <c r="D13" s="5" t="s">
        <v>18</v>
      </c>
      <c r="E13" s="4"/>
      <c r="F13" s="4">
        <v>285</v>
      </c>
      <c r="G13" s="4">
        <f t="shared" si="0"/>
        <v>0</v>
      </c>
      <c r="H13" s="5">
        <f t="shared" si="1"/>
        <v>525</v>
      </c>
    </row>
    <row r="14" spans="1:8" x14ac:dyDescent="0.25">
      <c r="A14" s="3" t="s">
        <v>14</v>
      </c>
      <c r="B14" s="5">
        <f>+'1410'!H14</f>
        <v>47000</v>
      </c>
      <c r="C14" s="5"/>
      <c r="D14" s="5" t="s">
        <v>18</v>
      </c>
      <c r="E14" s="4">
        <v>750</v>
      </c>
      <c r="F14" s="4">
        <v>93</v>
      </c>
      <c r="G14" s="4">
        <f t="shared" si="0"/>
        <v>69750</v>
      </c>
      <c r="H14" s="5">
        <f>B14-E14</f>
        <v>46250</v>
      </c>
    </row>
    <row r="15" spans="1:8" x14ac:dyDescent="0.25">
      <c r="A15" s="3" t="s">
        <v>15</v>
      </c>
      <c r="B15" s="5">
        <f>+'1410'!H15</f>
        <v>2930</v>
      </c>
      <c r="C15" s="5"/>
      <c r="D15" s="5" t="s">
        <v>18</v>
      </c>
      <c r="E15" s="4">
        <v>56</v>
      </c>
      <c r="F15" s="4">
        <v>67.23</v>
      </c>
      <c r="G15" s="4">
        <f t="shared" si="0"/>
        <v>3764.88</v>
      </c>
      <c r="H15" s="5">
        <f t="shared" si="1"/>
        <v>2874</v>
      </c>
    </row>
    <row r="16" spans="1:8" x14ac:dyDescent="0.25">
      <c r="A16" s="3" t="s">
        <v>16</v>
      </c>
      <c r="B16" s="5">
        <f>+'1410'!H16</f>
        <v>375</v>
      </c>
      <c r="C16" s="5"/>
      <c r="D16" s="5" t="s">
        <v>22</v>
      </c>
      <c r="E16" s="4"/>
      <c r="F16" s="4">
        <v>480</v>
      </c>
      <c r="G16" s="4">
        <f t="shared" si="0"/>
        <v>0</v>
      </c>
      <c r="H16" s="5">
        <f t="shared" si="1"/>
        <v>375</v>
      </c>
    </row>
    <row r="17" spans="1:8" x14ac:dyDescent="0.25">
      <c r="A17" s="3" t="s">
        <v>20</v>
      </c>
      <c r="B17" s="5">
        <f>+'1410'!H17</f>
        <v>31</v>
      </c>
      <c r="C17" s="5"/>
      <c r="D17" s="5" t="s">
        <v>21</v>
      </c>
      <c r="E17" s="4"/>
      <c r="F17" s="4"/>
      <c r="G17" s="4">
        <f t="shared" si="0"/>
        <v>0</v>
      </c>
      <c r="H17" s="5">
        <f t="shared" si="1"/>
        <v>31</v>
      </c>
    </row>
    <row r="18" spans="1:8" x14ac:dyDescent="0.25">
      <c r="A18" s="3"/>
      <c r="B18" s="5"/>
      <c r="C18" s="5"/>
      <c r="D18" s="5"/>
      <c r="E18" s="4"/>
      <c r="F18" s="4"/>
      <c r="G18" s="4"/>
      <c r="H18" s="5"/>
    </row>
    <row r="19" spans="1:8" x14ac:dyDescent="0.25">
      <c r="A19" s="3"/>
      <c r="B19" s="5"/>
      <c r="C19" s="5"/>
      <c r="D19" s="5"/>
      <c r="E19" s="4"/>
      <c r="F19" s="4"/>
      <c r="G19" s="4"/>
      <c r="H19" s="5"/>
    </row>
    <row r="20" spans="1:8" x14ac:dyDescent="0.25">
      <c r="A20" s="3"/>
      <c r="B20" s="5"/>
      <c r="C20" s="5"/>
      <c r="D20" s="5"/>
      <c r="E20" s="4"/>
      <c r="F20" s="4"/>
      <c r="G20" s="4"/>
      <c r="H20" s="5"/>
    </row>
    <row r="21" spans="1:8" x14ac:dyDescent="0.25">
      <c r="A21" s="3"/>
      <c r="B21" s="5"/>
      <c r="C21" s="5"/>
      <c r="D21" s="5"/>
      <c r="E21" s="4"/>
      <c r="F21" s="4"/>
      <c r="G21" s="4"/>
      <c r="H21" s="5"/>
    </row>
    <row r="22" spans="1:8" x14ac:dyDescent="0.25">
      <c r="A22" s="3"/>
      <c r="B22" s="5"/>
      <c r="C22" s="5"/>
      <c r="D22" s="5"/>
      <c r="E22" s="4"/>
      <c r="F22" s="4"/>
      <c r="G22" s="4"/>
      <c r="H22" s="5"/>
    </row>
    <row r="23" spans="1:8" x14ac:dyDescent="0.25">
      <c r="A23" s="3"/>
      <c r="B23" s="5"/>
      <c r="C23" s="5"/>
      <c r="D23" s="5"/>
      <c r="E23" s="4"/>
      <c r="F23" s="4"/>
      <c r="G23" s="4"/>
      <c r="H23" s="5"/>
    </row>
    <row r="24" spans="1:8" x14ac:dyDescent="0.25">
      <c r="A24" s="3"/>
      <c r="B24" s="5"/>
      <c r="C24" s="5"/>
      <c r="D24" s="5"/>
      <c r="E24" s="4"/>
      <c r="F24" s="4"/>
      <c r="G24" s="4"/>
      <c r="H24" s="5"/>
    </row>
    <row r="25" spans="1:8" x14ac:dyDescent="0.25">
      <c r="A25" s="3"/>
      <c r="B25" s="5"/>
      <c r="C25" s="5"/>
      <c r="D25" s="5"/>
      <c r="E25" s="4"/>
      <c r="F25" s="4"/>
      <c r="G25" s="4"/>
      <c r="H25" s="5"/>
    </row>
    <row r="26" spans="1:8" x14ac:dyDescent="0.25">
      <c r="A26" s="3"/>
      <c r="B26" s="5"/>
      <c r="C26" s="5"/>
      <c r="D26" s="5"/>
      <c r="E26" s="4"/>
      <c r="F26" s="4"/>
      <c r="G26" s="4"/>
      <c r="H26" s="5"/>
    </row>
    <row r="27" spans="1:8" x14ac:dyDescent="0.25">
      <c r="A27" s="3"/>
      <c r="B27" s="5"/>
      <c r="C27" s="5"/>
      <c r="D27" s="5"/>
      <c r="E27" s="4"/>
      <c r="F27" s="4"/>
      <c r="G27" s="4"/>
      <c r="H27" s="5"/>
    </row>
    <row r="28" spans="1:8" x14ac:dyDescent="0.25">
      <c r="A28" s="3"/>
      <c r="B28" s="5"/>
      <c r="C28" s="5"/>
      <c r="D28" s="5"/>
      <c r="E28" s="4"/>
      <c r="F28" s="4"/>
      <c r="G28" s="4"/>
      <c r="H28" s="5"/>
    </row>
    <row r="29" spans="1:8" x14ac:dyDescent="0.25">
      <c r="A29" s="3"/>
      <c r="B29" s="5"/>
      <c r="C29" s="5"/>
      <c r="D29" s="5"/>
      <c r="E29" s="4"/>
      <c r="F29" s="4"/>
      <c r="G29" s="4"/>
      <c r="H29" s="5"/>
    </row>
    <row r="30" spans="1:8" x14ac:dyDescent="0.25">
      <c r="A30" s="3"/>
      <c r="B30" s="5"/>
      <c r="C30" s="5"/>
      <c r="D30" s="5"/>
      <c r="E30" s="4"/>
      <c r="F30" s="4"/>
      <c r="G30" s="4"/>
      <c r="H30" s="5"/>
    </row>
    <row r="31" spans="1:8" x14ac:dyDescent="0.25">
      <c r="A31" s="3"/>
      <c r="B31" s="5"/>
      <c r="C31" s="5"/>
      <c r="D31" s="5"/>
      <c r="E31" s="4"/>
      <c r="F31" s="4"/>
      <c r="G31" s="4"/>
      <c r="H31" s="5"/>
    </row>
    <row r="32" spans="1:8" x14ac:dyDescent="0.25">
      <c r="A32" s="3"/>
      <c r="B32" s="5"/>
      <c r="C32" s="5"/>
      <c r="D32" s="5"/>
      <c r="E32" s="4"/>
      <c r="F32" s="4"/>
      <c r="G32" s="4"/>
      <c r="H32" s="5"/>
    </row>
    <row r="33" spans="1:8" x14ac:dyDescent="0.25">
      <c r="A33" s="3"/>
      <c r="B33" s="5"/>
      <c r="C33" s="5"/>
      <c r="D33" s="5"/>
      <c r="E33" s="4"/>
      <c r="F33" s="4"/>
      <c r="G33" s="4"/>
      <c r="H33" s="5"/>
    </row>
    <row r="34" spans="1:8" x14ac:dyDescent="0.25">
      <c r="A34" s="3"/>
      <c r="B34" s="5"/>
      <c r="C34" s="5"/>
      <c r="D34" s="5"/>
      <c r="E34" s="4"/>
      <c r="F34" s="4"/>
      <c r="G34" s="4"/>
      <c r="H34" s="5"/>
    </row>
    <row r="35" spans="1:8" x14ac:dyDescent="0.25">
      <c r="A35" s="3"/>
      <c r="B35" s="5"/>
      <c r="C35" s="5"/>
      <c r="D35" s="5"/>
      <c r="E35" s="4"/>
      <c r="F35" s="4"/>
      <c r="G35" s="4"/>
      <c r="H35" s="5"/>
    </row>
    <row r="36" spans="1:8" x14ac:dyDescent="0.25">
      <c r="A36" s="3"/>
      <c r="B36" s="5"/>
      <c r="C36" s="5"/>
      <c r="D36" s="5"/>
      <c r="E36" s="4"/>
      <c r="F36" s="4"/>
      <c r="G36" s="4"/>
      <c r="H36" s="5"/>
    </row>
    <row r="37" spans="1:8" x14ac:dyDescent="0.25">
      <c r="A37" s="3"/>
      <c r="B37" s="5"/>
      <c r="C37" s="5"/>
      <c r="D37" s="5"/>
      <c r="E37" s="4"/>
      <c r="F37" s="4"/>
      <c r="G37" s="4"/>
      <c r="H37" s="5"/>
    </row>
    <row r="38" spans="1:8" x14ac:dyDescent="0.25">
      <c r="A38" s="3"/>
      <c r="B38" s="5"/>
      <c r="C38" s="5"/>
      <c r="D38" s="5"/>
      <c r="E38" s="4"/>
      <c r="F38" s="4"/>
      <c r="G38" s="4"/>
      <c r="H38" s="5"/>
    </row>
    <row r="39" spans="1:8" ht="18.75" x14ac:dyDescent="0.3">
      <c r="A39" s="7" t="s">
        <v>2</v>
      </c>
      <c r="B39" s="7"/>
      <c r="C39" s="7"/>
      <c r="D39" s="7"/>
      <c r="E39" s="8">
        <f>SUM(E4:E37)</f>
        <v>943</v>
      </c>
      <c r="F39" s="8"/>
      <c r="G39" s="8"/>
      <c r="H39" s="8"/>
    </row>
  </sheetData>
  <mergeCells count="2">
    <mergeCell ref="A2:A3"/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9"/>
  <sheetViews>
    <sheetView workbookViewId="0">
      <selection activeCell="C9" sqref="C9:C17"/>
    </sheetView>
  </sheetViews>
  <sheetFormatPr baseColWidth="10" defaultRowHeight="15" x14ac:dyDescent="0.25"/>
  <cols>
    <col min="1" max="1" width="14.7109375" customWidth="1"/>
  </cols>
  <sheetData>
    <row r="2" spans="1:8" ht="15.75" x14ac:dyDescent="0.25">
      <c r="A2" s="27" t="s">
        <v>1</v>
      </c>
      <c r="B2" s="31">
        <v>45946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3" t="s">
        <v>5</v>
      </c>
      <c r="B4" s="5">
        <f>+'1510'!H4</f>
        <v>74</v>
      </c>
      <c r="C4" s="5"/>
      <c r="D4" s="5" t="s">
        <v>21</v>
      </c>
      <c r="E4" s="6">
        <v>3</v>
      </c>
      <c r="F4" s="4">
        <v>230.62</v>
      </c>
      <c r="G4" s="4">
        <f>E4*F4</f>
        <v>691.86</v>
      </c>
      <c r="H4" s="5">
        <f>B4-E4</f>
        <v>71</v>
      </c>
    </row>
    <row r="5" spans="1:8" x14ac:dyDescent="0.25">
      <c r="A5" s="3" t="s">
        <v>6</v>
      </c>
      <c r="B5" s="5">
        <f>+'1510'!H5</f>
        <v>78</v>
      </c>
      <c r="C5" s="5"/>
      <c r="D5" s="5" t="s">
        <v>21</v>
      </c>
      <c r="E5" s="6"/>
      <c r="F5" s="4">
        <v>91.2</v>
      </c>
      <c r="G5" s="4">
        <f t="shared" ref="G5:G17" si="0">E5*F5</f>
        <v>0</v>
      </c>
      <c r="H5" s="5">
        <f t="shared" ref="H5:H17" si="1">B5-E5</f>
        <v>78</v>
      </c>
    </row>
    <row r="6" spans="1:8" x14ac:dyDescent="0.25">
      <c r="A6" s="3" t="s">
        <v>7</v>
      </c>
      <c r="B6" s="5">
        <f>+'1510'!H6</f>
        <v>233</v>
      </c>
      <c r="C6" s="5"/>
      <c r="D6" s="5" t="s">
        <v>21</v>
      </c>
      <c r="E6" s="6"/>
      <c r="F6" s="4">
        <v>3500</v>
      </c>
      <c r="G6" s="4">
        <f t="shared" si="0"/>
        <v>0</v>
      </c>
      <c r="H6" s="5">
        <f t="shared" si="1"/>
        <v>233</v>
      </c>
    </row>
    <row r="7" spans="1:8" x14ac:dyDescent="0.25">
      <c r="A7" s="3" t="s">
        <v>8</v>
      </c>
      <c r="B7" s="5">
        <f>+'1510'!H7</f>
        <v>22</v>
      </c>
      <c r="C7" s="5"/>
      <c r="D7" s="5" t="s">
        <v>21</v>
      </c>
      <c r="E7" s="6">
        <v>1</v>
      </c>
      <c r="F7" s="4">
        <v>3300</v>
      </c>
      <c r="G7" s="4">
        <f t="shared" si="0"/>
        <v>3300</v>
      </c>
      <c r="H7" s="5">
        <f t="shared" si="1"/>
        <v>21</v>
      </c>
    </row>
    <row r="8" spans="1:8" x14ac:dyDescent="0.25">
      <c r="A8" s="3" t="s">
        <v>9</v>
      </c>
      <c r="B8" s="5">
        <f>+'1510'!H8</f>
        <v>59</v>
      </c>
      <c r="C8" s="5"/>
      <c r="D8" s="5" t="s">
        <v>21</v>
      </c>
      <c r="E8" s="6">
        <v>4</v>
      </c>
      <c r="F8" s="4">
        <v>1554.62</v>
      </c>
      <c r="G8" s="4">
        <f t="shared" si="0"/>
        <v>6218.48</v>
      </c>
      <c r="H8" s="5">
        <f t="shared" si="1"/>
        <v>55</v>
      </c>
    </row>
    <row r="9" spans="1:8" x14ac:dyDescent="0.25">
      <c r="A9" s="3" t="s">
        <v>10</v>
      </c>
      <c r="B9" s="5">
        <f>+'1510'!H9</f>
        <v>2556</v>
      </c>
      <c r="C9" s="5"/>
      <c r="D9" s="5" t="s">
        <v>18</v>
      </c>
      <c r="E9" s="6"/>
      <c r="F9" s="4">
        <v>210</v>
      </c>
      <c r="G9" s="4">
        <f t="shared" si="0"/>
        <v>0</v>
      </c>
      <c r="H9" s="5">
        <f t="shared" si="1"/>
        <v>2556</v>
      </c>
    </row>
    <row r="10" spans="1:8" x14ac:dyDescent="0.25">
      <c r="A10" s="3" t="s">
        <v>23</v>
      </c>
      <c r="B10" s="5">
        <f>+'1510'!H10</f>
        <v>24</v>
      </c>
      <c r="C10" s="5"/>
      <c r="D10" s="5" t="s">
        <v>18</v>
      </c>
      <c r="E10" s="6"/>
      <c r="F10" s="4"/>
      <c r="G10" s="4">
        <f t="shared" si="0"/>
        <v>0</v>
      </c>
      <c r="H10" s="5">
        <f t="shared" si="1"/>
        <v>24</v>
      </c>
    </row>
    <row r="11" spans="1:8" x14ac:dyDescent="0.25">
      <c r="A11" s="3" t="s">
        <v>11</v>
      </c>
      <c r="B11" s="5">
        <f>+'1510'!H11</f>
        <v>1500</v>
      </c>
      <c r="C11" s="5"/>
      <c r="D11" s="5" t="s">
        <v>18</v>
      </c>
      <c r="E11" s="6">
        <v>30</v>
      </c>
      <c r="F11" s="4">
        <v>290</v>
      </c>
      <c r="G11" s="4">
        <f t="shared" si="0"/>
        <v>8700</v>
      </c>
      <c r="H11" s="5">
        <f t="shared" si="1"/>
        <v>1470</v>
      </c>
    </row>
    <row r="12" spans="1:8" x14ac:dyDescent="0.25">
      <c r="A12" s="3" t="s">
        <v>12</v>
      </c>
      <c r="B12" s="5">
        <f>+'1510'!H12</f>
        <v>3025</v>
      </c>
      <c r="C12" s="5"/>
      <c r="D12" s="5" t="s">
        <v>18</v>
      </c>
      <c r="E12" s="6"/>
      <c r="F12" s="4">
        <v>49.5</v>
      </c>
      <c r="G12" s="4">
        <f t="shared" si="0"/>
        <v>0</v>
      </c>
      <c r="H12" s="5">
        <f t="shared" si="1"/>
        <v>3025</v>
      </c>
    </row>
    <row r="13" spans="1:8" x14ac:dyDescent="0.25">
      <c r="A13" s="3" t="s">
        <v>13</v>
      </c>
      <c r="B13" s="5">
        <f>+'1510'!H13</f>
        <v>525</v>
      </c>
      <c r="C13" s="5"/>
      <c r="D13" s="5" t="s">
        <v>18</v>
      </c>
      <c r="E13" s="6"/>
      <c r="F13" s="4">
        <v>285</v>
      </c>
      <c r="G13" s="4">
        <f t="shared" si="0"/>
        <v>0</v>
      </c>
      <c r="H13" s="5">
        <f t="shared" si="1"/>
        <v>525</v>
      </c>
    </row>
    <row r="14" spans="1:8" x14ac:dyDescent="0.25">
      <c r="A14" s="3" t="s">
        <v>14</v>
      </c>
      <c r="B14" s="5">
        <f>+'1510'!H14</f>
        <v>46250</v>
      </c>
      <c r="C14" s="5"/>
      <c r="D14" s="5" t="s">
        <v>18</v>
      </c>
      <c r="E14" s="6">
        <v>1000</v>
      </c>
      <c r="F14" s="4">
        <v>93</v>
      </c>
      <c r="G14" s="4">
        <f t="shared" si="0"/>
        <v>93000</v>
      </c>
      <c r="H14" s="5">
        <f>B14-E14</f>
        <v>45250</v>
      </c>
    </row>
    <row r="15" spans="1:8" x14ac:dyDescent="0.25">
      <c r="A15" s="3" t="s">
        <v>15</v>
      </c>
      <c r="B15" s="5">
        <f>+'1510'!H15</f>
        <v>2874</v>
      </c>
      <c r="C15" s="5"/>
      <c r="D15" s="5" t="s">
        <v>18</v>
      </c>
      <c r="E15" s="6">
        <v>42</v>
      </c>
      <c r="F15" s="4">
        <v>67.23</v>
      </c>
      <c r="G15" s="4">
        <f t="shared" si="0"/>
        <v>2823.6600000000003</v>
      </c>
      <c r="H15" s="5">
        <f t="shared" si="1"/>
        <v>2832</v>
      </c>
    </row>
    <row r="16" spans="1:8" x14ac:dyDescent="0.25">
      <c r="A16" s="3" t="s">
        <v>16</v>
      </c>
      <c r="B16" s="5">
        <f>+'1510'!H16</f>
        <v>375</v>
      </c>
      <c r="C16" s="5"/>
      <c r="D16" s="5" t="s">
        <v>22</v>
      </c>
      <c r="E16" s="6"/>
      <c r="F16" s="4">
        <v>480</v>
      </c>
      <c r="G16" s="4">
        <f t="shared" si="0"/>
        <v>0</v>
      </c>
      <c r="H16" s="5">
        <f t="shared" si="1"/>
        <v>375</v>
      </c>
    </row>
    <row r="17" spans="1:8" x14ac:dyDescent="0.25">
      <c r="A17" s="3" t="s">
        <v>20</v>
      </c>
      <c r="B17" s="5">
        <f>+'1510'!H17</f>
        <v>31</v>
      </c>
      <c r="C17" s="5"/>
      <c r="D17" s="5" t="s">
        <v>21</v>
      </c>
      <c r="E17" s="6"/>
      <c r="F17" s="4"/>
      <c r="G17" s="4">
        <f t="shared" si="0"/>
        <v>0</v>
      </c>
      <c r="H17" s="5">
        <f t="shared" si="1"/>
        <v>31</v>
      </c>
    </row>
    <row r="18" spans="1:8" x14ac:dyDescent="0.25">
      <c r="A18" s="3"/>
      <c r="B18" s="5"/>
      <c r="C18" s="5"/>
      <c r="D18" s="5"/>
      <c r="E18" s="6"/>
      <c r="F18" s="4"/>
      <c r="G18" s="4"/>
      <c r="H18" s="5"/>
    </row>
    <row r="19" spans="1:8" x14ac:dyDescent="0.25">
      <c r="A19" s="3"/>
      <c r="B19" s="5"/>
      <c r="C19" s="5"/>
      <c r="D19" s="5"/>
      <c r="E19" s="6"/>
      <c r="F19" s="4"/>
      <c r="G19" s="4"/>
      <c r="H19" s="5"/>
    </row>
    <row r="20" spans="1:8" x14ac:dyDescent="0.25">
      <c r="A20" s="3"/>
      <c r="B20" s="5"/>
      <c r="C20" s="5"/>
      <c r="D20" s="5"/>
      <c r="E20" s="6"/>
      <c r="F20" s="4"/>
      <c r="G20" s="4"/>
      <c r="H20" s="5"/>
    </row>
    <row r="21" spans="1:8" x14ac:dyDescent="0.25">
      <c r="A21" s="3"/>
      <c r="B21" s="5"/>
      <c r="C21" s="5"/>
      <c r="D21" s="5"/>
      <c r="E21" s="6"/>
      <c r="F21" s="4"/>
      <c r="G21" s="4"/>
      <c r="H21" s="5"/>
    </row>
    <row r="22" spans="1:8" x14ac:dyDescent="0.25">
      <c r="A22" s="3"/>
      <c r="B22" s="5"/>
      <c r="C22" s="5"/>
      <c r="D22" s="5"/>
      <c r="E22" s="6"/>
      <c r="F22" s="4"/>
      <c r="G22" s="4"/>
      <c r="H22" s="5"/>
    </row>
    <row r="23" spans="1:8" x14ac:dyDescent="0.25">
      <c r="A23" s="3"/>
      <c r="B23" s="5"/>
      <c r="C23" s="5"/>
      <c r="D23" s="5"/>
      <c r="E23" s="6"/>
      <c r="F23" s="4"/>
      <c r="G23" s="4"/>
      <c r="H23" s="5"/>
    </row>
    <row r="24" spans="1:8" x14ac:dyDescent="0.25">
      <c r="A24" s="3"/>
      <c r="B24" s="5"/>
      <c r="C24" s="5"/>
      <c r="D24" s="5"/>
      <c r="E24" s="6"/>
      <c r="F24" s="4"/>
      <c r="G24" s="4"/>
      <c r="H24" s="5"/>
    </row>
    <row r="25" spans="1:8" x14ac:dyDescent="0.25">
      <c r="A25" s="3"/>
      <c r="B25" s="5"/>
      <c r="C25" s="5"/>
      <c r="D25" s="5"/>
      <c r="E25" s="6"/>
      <c r="F25" s="4"/>
      <c r="G25" s="4"/>
      <c r="H25" s="5"/>
    </row>
    <row r="26" spans="1:8" x14ac:dyDescent="0.25">
      <c r="A26" s="3"/>
      <c r="B26" s="5"/>
      <c r="C26" s="5"/>
      <c r="D26" s="5"/>
      <c r="E26" s="6"/>
      <c r="F26" s="4"/>
      <c r="G26" s="4"/>
      <c r="H26" s="5"/>
    </row>
    <row r="27" spans="1:8" x14ac:dyDescent="0.25">
      <c r="A27" s="3"/>
      <c r="B27" s="5"/>
      <c r="C27" s="5"/>
      <c r="D27" s="5"/>
      <c r="E27" s="6"/>
      <c r="F27" s="4"/>
      <c r="G27" s="4"/>
      <c r="H27" s="5"/>
    </row>
    <row r="28" spans="1:8" x14ac:dyDescent="0.25">
      <c r="A28" s="3"/>
      <c r="B28" s="5"/>
      <c r="C28" s="5"/>
      <c r="D28" s="5"/>
      <c r="E28" s="6"/>
      <c r="F28" s="4"/>
      <c r="G28" s="4"/>
      <c r="H28" s="5"/>
    </row>
    <row r="29" spans="1:8" x14ac:dyDescent="0.25">
      <c r="A29" s="3"/>
      <c r="B29" s="5"/>
      <c r="C29" s="5"/>
      <c r="D29" s="5"/>
      <c r="E29" s="6"/>
      <c r="F29" s="4"/>
      <c r="G29" s="4"/>
      <c r="H29" s="5"/>
    </row>
    <row r="30" spans="1:8" x14ac:dyDescent="0.25">
      <c r="A30" s="3"/>
      <c r="B30" s="5"/>
      <c r="C30" s="5"/>
      <c r="D30" s="5"/>
      <c r="E30" s="6"/>
      <c r="F30" s="4"/>
      <c r="G30" s="4"/>
      <c r="H30" s="5"/>
    </row>
    <row r="31" spans="1:8" x14ac:dyDescent="0.25">
      <c r="A31" s="3"/>
      <c r="B31" s="5"/>
      <c r="C31" s="5"/>
      <c r="D31" s="5"/>
      <c r="E31" s="6"/>
      <c r="F31" s="4"/>
      <c r="G31" s="4"/>
      <c r="H31" s="5"/>
    </row>
    <row r="32" spans="1:8" x14ac:dyDescent="0.25">
      <c r="A32" s="3"/>
      <c r="B32" s="5"/>
      <c r="C32" s="5"/>
      <c r="D32" s="5"/>
      <c r="E32" s="6"/>
      <c r="F32" s="4"/>
      <c r="G32" s="4"/>
      <c r="H32" s="5"/>
    </row>
    <row r="33" spans="1:8" x14ac:dyDescent="0.25">
      <c r="A33" s="3"/>
      <c r="B33" s="5"/>
      <c r="C33" s="5"/>
      <c r="D33" s="5"/>
      <c r="E33" s="6"/>
      <c r="F33" s="4"/>
      <c r="G33" s="4"/>
      <c r="H33" s="5"/>
    </row>
    <row r="34" spans="1:8" x14ac:dyDescent="0.25">
      <c r="A34" s="3"/>
      <c r="B34" s="5"/>
      <c r="C34" s="5"/>
      <c r="D34" s="5"/>
      <c r="E34" s="6"/>
      <c r="F34" s="4"/>
      <c r="G34" s="4"/>
      <c r="H34" s="5"/>
    </row>
    <row r="35" spans="1:8" x14ac:dyDescent="0.25">
      <c r="A35" s="3"/>
      <c r="B35" s="5"/>
      <c r="C35" s="5"/>
      <c r="D35" s="5"/>
      <c r="E35" s="6"/>
      <c r="F35" s="4"/>
      <c r="G35" s="4"/>
      <c r="H35" s="5"/>
    </row>
    <row r="36" spans="1:8" x14ac:dyDescent="0.25">
      <c r="A36" s="3"/>
      <c r="B36" s="5"/>
      <c r="C36" s="5"/>
      <c r="D36" s="5"/>
      <c r="E36" s="6"/>
      <c r="F36" s="4"/>
      <c r="G36" s="4"/>
      <c r="H36" s="5"/>
    </row>
    <row r="37" spans="1:8" x14ac:dyDescent="0.25">
      <c r="A37" s="3"/>
      <c r="B37" s="5"/>
      <c r="C37" s="5"/>
      <c r="D37" s="5"/>
      <c r="E37" s="6"/>
      <c r="F37" s="4"/>
      <c r="G37" s="4"/>
      <c r="H37" s="5"/>
    </row>
    <row r="38" spans="1:8" x14ac:dyDescent="0.25">
      <c r="A38" s="3"/>
      <c r="B38" s="5"/>
      <c r="C38" s="5"/>
      <c r="D38" s="5"/>
      <c r="E38" s="6"/>
      <c r="F38" s="4"/>
      <c r="G38" s="4"/>
      <c r="H38" s="5"/>
    </row>
    <row r="39" spans="1:8" ht="18.75" x14ac:dyDescent="0.3">
      <c r="A39" s="7" t="s">
        <v>2</v>
      </c>
      <c r="B39" s="7"/>
      <c r="C39" s="7"/>
      <c r="D39" s="7"/>
      <c r="E39" s="8">
        <f>SUM(E4:E37)</f>
        <v>1080</v>
      </c>
      <c r="F39" s="8"/>
      <c r="G39" s="8"/>
      <c r="H39" s="8"/>
    </row>
  </sheetData>
  <mergeCells count="2">
    <mergeCell ref="A2:A3"/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9"/>
  <sheetViews>
    <sheetView workbookViewId="0">
      <selection activeCell="C9" sqref="C9:C17"/>
    </sheetView>
  </sheetViews>
  <sheetFormatPr baseColWidth="10" defaultRowHeight="15" x14ac:dyDescent="0.25"/>
  <cols>
    <col min="1" max="1" width="16.28515625" customWidth="1"/>
  </cols>
  <sheetData>
    <row r="2" spans="1:8" ht="15.75" x14ac:dyDescent="0.25">
      <c r="A2" s="27" t="s">
        <v>1</v>
      </c>
      <c r="B2" s="31">
        <v>45949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3" t="s">
        <v>5</v>
      </c>
      <c r="B4" s="5">
        <f>+'1610'!H4</f>
        <v>71</v>
      </c>
      <c r="C4" s="5"/>
      <c r="D4" s="5" t="s">
        <v>21</v>
      </c>
      <c r="E4" s="6">
        <v>3</v>
      </c>
      <c r="F4" s="4">
        <v>230.62</v>
      </c>
      <c r="G4" s="4">
        <f>E4*F4</f>
        <v>691.86</v>
      </c>
      <c r="H4" s="5">
        <f>B4-E4</f>
        <v>68</v>
      </c>
    </row>
    <row r="5" spans="1:8" x14ac:dyDescent="0.25">
      <c r="A5" s="3" t="s">
        <v>6</v>
      </c>
      <c r="B5" s="5">
        <f>+'1610'!H5</f>
        <v>78</v>
      </c>
      <c r="C5" s="5"/>
      <c r="D5" s="5" t="s">
        <v>21</v>
      </c>
      <c r="E5" s="6">
        <v>3</v>
      </c>
      <c r="F5" s="4">
        <v>91.2</v>
      </c>
      <c r="G5" s="4">
        <f t="shared" ref="G5:G17" si="0">E5*F5</f>
        <v>273.60000000000002</v>
      </c>
      <c r="H5" s="5">
        <f t="shared" ref="H5:H17" si="1">B5-E5</f>
        <v>75</v>
      </c>
    </row>
    <row r="6" spans="1:8" x14ac:dyDescent="0.25">
      <c r="A6" s="3" t="s">
        <v>7</v>
      </c>
      <c r="B6" s="5">
        <f>+'1610'!H6</f>
        <v>233</v>
      </c>
      <c r="C6" s="5"/>
      <c r="D6" s="5" t="s">
        <v>21</v>
      </c>
      <c r="E6" s="6">
        <v>2</v>
      </c>
      <c r="F6" s="4">
        <v>3500</v>
      </c>
      <c r="G6" s="4">
        <f t="shared" si="0"/>
        <v>7000</v>
      </c>
      <c r="H6" s="5">
        <f t="shared" si="1"/>
        <v>231</v>
      </c>
    </row>
    <row r="7" spans="1:8" x14ac:dyDescent="0.25">
      <c r="A7" s="3" t="s">
        <v>8</v>
      </c>
      <c r="B7" s="5">
        <f>+'1610'!H7</f>
        <v>21</v>
      </c>
      <c r="C7" s="5"/>
      <c r="D7" s="5" t="s">
        <v>21</v>
      </c>
      <c r="E7" s="6">
        <v>1</v>
      </c>
      <c r="F7" s="4">
        <v>3300</v>
      </c>
      <c r="G7" s="4">
        <f t="shared" si="0"/>
        <v>3300</v>
      </c>
      <c r="H7" s="5">
        <f t="shared" si="1"/>
        <v>20</v>
      </c>
    </row>
    <row r="8" spans="1:8" x14ac:dyDescent="0.25">
      <c r="A8" s="3" t="s">
        <v>9</v>
      </c>
      <c r="B8" s="5">
        <f>+'1610'!H8</f>
        <v>55</v>
      </c>
      <c r="C8" s="5"/>
      <c r="D8" s="5" t="s">
        <v>21</v>
      </c>
      <c r="E8" s="6">
        <v>5</v>
      </c>
      <c r="F8" s="4">
        <v>1554.62</v>
      </c>
      <c r="G8" s="4">
        <f t="shared" si="0"/>
        <v>7773.0999999999995</v>
      </c>
      <c r="H8" s="5">
        <f t="shared" si="1"/>
        <v>50</v>
      </c>
    </row>
    <row r="9" spans="1:8" x14ac:dyDescent="0.25">
      <c r="A9" s="3" t="s">
        <v>10</v>
      </c>
      <c r="B9" s="5">
        <f>+'1610'!H9</f>
        <v>2556</v>
      </c>
      <c r="C9" s="5"/>
      <c r="D9" s="5" t="s">
        <v>18</v>
      </c>
      <c r="E9" s="6">
        <v>32</v>
      </c>
      <c r="F9" s="4">
        <v>210</v>
      </c>
      <c r="G9" s="4">
        <f t="shared" si="0"/>
        <v>6720</v>
      </c>
      <c r="H9" s="5">
        <f t="shared" si="1"/>
        <v>2524</v>
      </c>
    </row>
    <row r="10" spans="1:8" x14ac:dyDescent="0.25">
      <c r="A10" s="3" t="s">
        <v>23</v>
      </c>
      <c r="B10" s="5">
        <f>+'1610'!H10</f>
        <v>24</v>
      </c>
      <c r="C10" s="5"/>
      <c r="D10" s="5" t="s">
        <v>18</v>
      </c>
      <c r="E10" s="6"/>
      <c r="F10" s="4"/>
      <c r="G10" s="4">
        <f t="shared" si="0"/>
        <v>0</v>
      </c>
      <c r="H10" s="5">
        <f t="shared" si="1"/>
        <v>24</v>
      </c>
    </row>
    <row r="11" spans="1:8" x14ac:dyDescent="0.25">
      <c r="A11" s="3" t="s">
        <v>11</v>
      </c>
      <c r="B11" s="5">
        <f>+'1610'!H11</f>
        <v>1470</v>
      </c>
      <c r="C11" s="5"/>
      <c r="D11" s="5" t="s">
        <v>18</v>
      </c>
      <c r="E11" s="6">
        <v>30</v>
      </c>
      <c r="F11" s="4">
        <v>290</v>
      </c>
      <c r="G11" s="4">
        <f t="shared" si="0"/>
        <v>8700</v>
      </c>
      <c r="H11" s="5">
        <f t="shared" si="1"/>
        <v>1440</v>
      </c>
    </row>
    <row r="12" spans="1:8" x14ac:dyDescent="0.25">
      <c r="A12" s="3" t="s">
        <v>12</v>
      </c>
      <c r="B12" s="5">
        <f>+'1610'!H12</f>
        <v>3025</v>
      </c>
      <c r="C12" s="5"/>
      <c r="D12" s="5" t="s">
        <v>18</v>
      </c>
      <c r="E12" s="6">
        <v>100</v>
      </c>
      <c r="F12" s="4">
        <v>49.5</v>
      </c>
      <c r="G12" s="4">
        <f t="shared" si="0"/>
        <v>4950</v>
      </c>
      <c r="H12" s="5">
        <f t="shared" si="1"/>
        <v>2925</v>
      </c>
    </row>
    <row r="13" spans="1:8" x14ac:dyDescent="0.25">
      <c r="A13" s="3" t="s">
        <v>13</v>
      </c>
      <c r="B13" s="5">
        <f>+'1610'!H13</f>
        <v>525</v>
      </c>
      <c r="C13" s="5"/>
      <c r="D13" s="5" t="s">
        <v>18</v>
      </c>
      <c r="E13" s="6">
        <v>50</v>
      </c>
      <c r="F13" s="4">
        <v>285</v>
      </c>
      <c r="G13" s="4">
        <f t="shared" si="0"/>
        <v>14250</v>
      </c>
      <c r="H13" s="5">
        <f t="shared" si="1"/>
        <v>475</v>
      </c>
    </row>
    <row r="14" spans="1:8" x14ac:dyDescent="0.25">
      <c r="A14" s="3" t="s">
        <v>14</v>
      </c>
      <c r="B14" s="5">
        <f>+'1610'!H14</f>
        <v>45250</v>
      </c>
      <c r="C14" s="5"/>
      <c r="D14" s="5" t="s">
        <v>18</v>
      </c>
      <c r="E14" s="6">
        <v>1500</v>
      </c>
      <c r="F14" s="4">
        <v>93</v>
      </c>
      <c r="G14" s="4">
        <f t="shared" si="0"/>
        <v>139500</v>
      </c>
      <c r="H14" s="5">
        <f t="shared" si="1"/>
        <v>43750</v>
      </c>
    </row>
    <row r="15" spans="1:8" x14ac:dyDescent="0.25">
      <c r="A15" s="3" t="s">
        <v>15</v>
      </c>
      <c r="B15" s="5">
        <f>+'1610'!H15</f>
        <v>2832</v>
      </c>
      <c r="C15" s="5"/>
      <c r="D15" s="5" t="s">
        <v>18</v>
      </c>
      <c r="E15" s="6">
        <v>84</v>
      </c>
      <c r="F15" s="4">
        <v>67.23</v>
      </c>
      <c r="G15" s="4">
        <f t="shared" si="0"/>
        <v>5647.3200000000006</v>
      </c>
      <c r="H15" s="5">
        <f t="shared" si="1"/>
        <v>2748</v>
      </c>
    </row>
    <row r="16" spans="1:8" x14ac:dyDescent="0.25">
      <c r="A16" s="3" t="s">
        <v>16</v>
      </c>
      <c r="B16" s="5">
        <f>+'1610'!H16</f>
        <v>375</v>
      </c>
      <c r="C16" s="5"/>
      <c r="D16" s="5" t="s">
        <v>22</v>
      </c>
      <c r="E16" s="6"/>
      <c r="F16" s="4">
        <v>480</v>
      </c>
      <c r="G16" s="4">
        <f t="shared" si="0"/>
        <v>0</v>
      </c>
      <c r="H16" s="5">
        <f t="shared" si="1"/>
        <v>375</v>
      </c>
    </row>
    <row r="17" spans="1:8" x14ac:dyDescent="0.25">
      <c r="A17" s="3" t="s">
        <v>20</v>
      </c>
      <c r="B17" s="5">
        <f>+'1610'!H17</f>
        <v>31</v>
      </c>
      <c r="C17" s="5"/>
      <c r="D17" s="5" t="s">
        <v>21</v>
      </c>
      <c r="E17" s="6"/>
      <c r="F17" s="4"/>
      <c r="G17" s="4">
        <f t="shared" si="0"/>
        <v>0</v>
      </c>
      <c r="H17" s="5">
        <f t="shared" si="1"/>
        <v>31</v>
      </c>
    </row>
    <row r="18" spans="1:8" x14ac:dyDescent="0.25">
      <c r="A18" s="3"/>
      <c r="B18" s="5"/>
      <c r="C18" s="5"/>
      <c r="D18" s="5"/>
      <c r="E18" s="6"/>
      <c r="F18" s="4"/>
      <c r="G18" s="4"/>
      <c r="H18" s="5"/>
    </row>
    <row r="19" spans="1:8" x14ac:dyDescent="0.25">
      <c r="A19" s="3"/>
      <c r="B19" s="5"/>
      <c r="C19" s="5"/>
      <c r="D19" s="5"/>
      <c r="E19" s="6"/>
      <c r="F19" s="4"/>
      <c r="G19" s="4"/>
      <c r="H19" s="5"/>
    </row>
    <row r="20" spans="1:8" x14ac:dyDescent="0.25">
      <c r="A20" s="3"/>
      <c r="B20" s="5"/>
      <c r="C20" s="5"/>
      <c r="D20" s="5"/>
      <c r="E20" s="6"/>
      <c r="F20" s="4"/>
      <c r="G20" s="4"/>
      <c r="H20" s="5"/>
    </row>
    <row r="21" spans="1:8" x14ac:dyDescent="0.25">
      <c r="A21" s="3"/>
      <c r="B21" s="5"/>
      <c r="C21" s="5"/>
      <c r="D21" s="5"/>
      <c r="E21" s="6"/>
      <c r="F21" s="4"/>
      <c r="G21" s="4"/>
      <c r="H21" s="5"/>
    </row>
    <row r="22" spans="1:8" x14ac:dyDescent="0.25">
      <c r="A22" s="3"/>
      <c r="B22" s="5"/>
      <c r="C22" s="5"/>
      <c r="D22" s="5"/>
      <c r="E22" s="6"/>
      <c r="F22" s="4"/>
      <c r="G22" s="4"/>
      <c r="H22" s="5"/>
    </row>
    <row r="23" spans="1:8" x14ac:dyDescent="0.25">
      <c r="A23" s="3"/>
      <c r="B23" s="5"/>
      <c r="C23" s="5"/>
      <c r="D23" s="5"/>
      <c r="E23" s="6"/>
      <c r="F23" s="4"/>
      <c r="G23" s="4"/>
      <c r="H23" s="5"/>
    </row>
    <row r="24" spans="1:8" x14ac:dyDescent="0.25">
      <c r="A24" s="3"/>
      <c r="B24" s="5"/>
      <c r="C24" s="5"/>
      <c r="D24" s="5"/>
      <c r="E24" s="6"/>
      <c r="F24" s="4"/>
      <c r="G24" s="4"/>
      <c r="H24" s="5"/>
    </row>
    <row r="25" spans="1:8" x14ac:dyDescent="0.25">
      <c r="A25" s="3"/>
      <c r="B25" s="5"/>
      <c r="C25" s="5"/>
      <c r="D25" s="5"/>
      <c r="E25" s="6"/>
      <c r="F25" s="4"/>
      <c r="G25" s="4"/>
      <c r="H25" s="5"/>
    </row>
    <row r="26" spans="1:8" x14ac:dyDescent="0.25">
      <c r="A26" s="3"/>
      <c r="B26" s="5"/>
      <c r="C26" s="5"/>
      <c r="D26" s="5"/>
      <c r="E26" s="6"/>
      <c r="F26" s="4"/>
      <c r="G26" s="4"/>
      <c r="H26" s="5"/>
    </row>
    <row r="27" spans="1:8" x14ac:dyDescent="0.25">
      <c r="A27" s="3"/>
      <c r="B27" s="5"/>
      <c r="C27" s="5"/>
      <c r="D27" s="5"/>
      <c r="E27" s="6"/>
      <c r="F27" s="4"/>
      <c r="G27" s="4"/>
      <c r="H27" s="5"/>
    </row>
    <row r="28" spans="1:8" x14ac:dyDescent="0.25">
      <c r="A28" s="3"/>
      <c r="B28" s="5"/>
      <c r="C28" s="5"/>
      <c r="D28" s="5"/>
      <c r="E28" s="6"/>
      <c r="F28" s="4"/>
      <c r="G28" s="4"/>
      <c r="H28" s="5"/>
    </row>
    <row r="29" spans="1:8" x14ac:dyDescent="0.25">
      <c r="A29" s="3"/>
      <c r="B29" s="5"/>
      <c r="C29" s="5"/>
      <c r="D29" s="5"/>
      <c r="E29" s="6"/>
      <c r="F29" s="4"/>
      <c r="G29" s="4"/>
      <c r="H29" s="5"/>
    </row>
    <row r="30" spans="1:8" x14ac:dyDescent="0.25">
      <c r="A30" s="3"/>
      <c r="B30" s="5"/>
      <c r="C30" s="5"/>
      <c r="D30" s="5"/>
      <c r="E30" s="6"/>
      <c r="F30" s="4"/>
      <c r="G30" s="4"/>
      <c r="H30" s="5"/>
    </row>
    <row r="31" spans="1:8" x14ac:dyDescent="0.25">
      <c r="A31" s="3"/>
      <c r="B31" s="5"/>
      <c r="C31" s="5"/>
      <c r="D31" s="5"/>
      <c r="E31" s="6"/>
      <c r="F31" s="4"/>
      <c r="G31" s="4"/>
      <c r="H31" s="5"/>
    </row>
    <row r="32" spans="1:8" x14ac:dyDescent="0.25">
      <c r="A32" s="3"/>
      <c r="B32" s="5"/>
      <c r="C32" s="5"/>
      <c r="D32" s="5"/>
      <c r="E32" s="6"/>
      <c r="F32" s="4"/>
      <c r="G32" s="4"/>
      <c r="H32" s="5"/>
    </row>
    <row r="33" spans="1:8" x14ac:dyDescent="0.25">
      <c r="A33" s="3"/>
      <c r="B33" s="5"/>
      <c r="C33" s="5"/>
      <c r="D33" s="5"/>
      <c r="E33" s="6"/>
      <c r="F33" s="4"/>
      <c r="G33" s="4"/>
      <c r="H33" s="5"/>
    </row>
    <row r="34" spans="1:8" x14ac:dyDescent="0.25">
      <c r="A34" s="3"/>
      <c r="B34" s="5"/>
      <c r="C34" s="5"/>
      <c r="D34" s="5"/>
      <c r="E34" s="6"/>
      <c r="F34" s="4"/>
      <c r="G34" s="4"/>
      <c r="H34" s="5"/>
    </row>
    <row r="35" spans="1:8" x14ac:dyDescent="0.25">
      <c r="A35" s="3"/>
      <c r="B35" s="5"/>
      <c r="C35" s="5"/>
      <c r="D35" s="5"/>
      <c r="E35" s="6"/>
      <c r="F35" s="4"/>
      <c r="G35" s="4"/>
      <c r="H35" s="5"/>
    </row>
    <row r="36" spans="1:8" x14ac:dyDescent="0.25">
      <c r="A36" s="3"/>
      <c r="B36" s="5"/>
      <c r="C36" s="5"/>
      <c r="D36" s="5"/>
      <c r="E36" s="6"/>
      <c r="F36" s="4"/>
      <c r="G36" s="4"/>
      <c r="H36" s="5"/>
    </row>
    <row r="37" spans="1:8" x14ac:dyDescent="0.25">
      <c r="A37" s="3"/>
      <c r="B37" s="5"/>
      <c r="C37" s="5"/>
      <c r="D37" s="5"/>
      <c r="E37" s="6"/>
      <c r="F37" s="4"/>
      <c r="G37" s="4"/>
      <c r="H37" s="5"/>
    </row>
    <row r="38" spans="1:8" x14ac:dyDescent="0.25">
      <c r="A38" s="3"/>
      <c r="B38" s="5"/>
      <c r="C38" s="5"/>
      <c r="D38" s="5"/>
      <c r="E38" s="6"/>
      <c r="F38" s="4"/>
      <c r="G38" s="4"/>
      <c r="H38" s="5"/>
    </row>
    <row r="39" spans="1:8" ht="18.75" x14ac:dyDescent="0.3">
      <c r="A39" s="7" t="s">
        <v>2</v>
      </c>
      <c r="B39" s="7"/>
      <c r="C39" s="7"/>
      <c r="D39" s="7"/>
      <c r="E39" s="8">
        <f>SUM(E4:E37)</f>
        <v>1810</v>
      </c>
      <c r="F39" s="8"/>
      <c r="G39" s="8"/>
      <c r="H39" s="8"/>
    </row>
  </sheetData>
  <mergeCells count="2">
    <mergeCell ref="A2:A3"/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9"/>
  <sheetViews>
    <sheetView workbookViewId="0">
      <selection activeCell="C9" sqref="C9:C17"/>
    </sheetView>
  </sheetViews>
  <sheetFormatPr baseColWidth="10" defaultRowHeight="15" x14ac:dyDescent="0.25"/>
  <cols>
    <col min="1" max="1" width="13.85546875" customWidth="1"/>
  </cols>
  <sheetData>
    <row r="2" spans="1:8" ht="15.75" x14ac:dyDescent="0.25">
      <c r="A2" s="27" t="s">
        <v>1</v>
      </c>
      <c r="B2" s="31">
        <v>45950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3" t="s">
        <v>5</v>
      </c>
      <c r="B4" s="5">
        <f>+'1910'!H4</f>
        <v>68</v>
      </c>
      <c r="C4" s="5"/>
      <c r="D4" s="5" t="s">
        <v>21</v>
      </c>
      <c r="E4" s="6">
        <v>3</v>
      </c>
      <c r="F4" s="4">
        <v>230.62</v>
      </c>
      <c r="G4" s="4">
        <f>E4*F4</f>
        <v>691.86</v>
      </c>
      <c r="H4" s="5">
        <f>B4-E4</f>
        <v>65</v>
      </c>
    </row>
    <row r="5" spans="1:8" x14ac:dyDescent="0.25">
      <c r="A5" s="3" t="s">
        <v>6</v>
      </c>
      <c r="B5" s="5">
        <f>+'1910'!H5</f>
        <v>75</v>
      </c>
      <c r="C5" s="5"/>
      <c r="D5" s="5" t="s">
        <v>21</v>
      </c>
      <c r="E5" s="6"/>
      <c r="F5" s="4">
        <v>91.2</v>
      </c>
      <c r="G5" s="4">
        <f t="shared" ref="G5:G17" si="0">E5*F5</f>
        <v>0</v>
      </c>
      <c r="H5" s="5">
        <f t="shared" ref="H5:H17" si="1">B5-E5</f>
        <v>75</v>
      </c>
    </row>
    <row r="6" spans="1:8" x14ac:dyDescent="0.25">
      <c r="A6" s="3" t="s">
        <v>7</v>
      </c>
      <c r="B6" s="5">
        <f>+'1910'!H6</f>
        <v>231</v>
      </c>
      <c r="C6" s="5"/>
      <c r="D6" s="5" t="s">
        <v>21</v>
      </c>
      <c r="E6" s="6">
        <v>2</v>
      </c>
      <c r="F6" s="4">
        <v>3500</v>
      </c>
      <c r="G6" s="4">
        <f t="shared" si="0"/>
        <v>7000</v>
      </c>
      <c r="H6" s="5">
        <f t="shared" si="1"/>
        <v>229</v>
      </c>
    </row>
    <row r="7" spans="1:8" x14ac:dyDescent="0.25">
      <c r="A7" s="3" t="s">
        <v>8</v>
      </c>
      <c r="B7" s="5">
        <f>+'1910'!H7</f>
        <v>20</v>
      </c>
      <c r="C7" s="5"/>
      <c r="D7" s="5" t="s">
        <v>21</v>
      </c>
      <c r="E7" s="6">
        <v>1</v>
      </c>
      <c r="F7" s="4">
        <v>3300</v>
      </c>
      <c r="G7" s="4">
        <f t="shared" si="0"/>
        <v>3300</v>
      </c>
      <c r="H7" s="5">
        <f t="shared" si="1"/>
        <v>19</v>
      </c>
    </row>
    <row r="8" spans="1:8" x14ac:dyDescent="0.25">
      <c r="A8" s="3" t="s">
        <v>9</v>
      </c>
      <c r="B8" s="5">
        <f>+'1910'!H8</f>
        <v>50</v>
      </c>
      <c r="C8" s="5"/>
      <c r="D8" s="5" t="s">
        <v>21</v>
      </c>
      <c r="E8" s="6"/>
      <c r="F8" s="4">
        <v>1554.62</v>
      </c>
      <c r="G8" s="4">
        <f t="shared" si="0"/>
        <v>0</v>
      </c>
      <c r="H8" s="5">
        <f t="shared" si="1"/>
        <v>50</v>
      </c>
    </row>
    <row r="9" spans="1:8" x14ac:dyDescent="0.25">
      <c r="A9" s="3" t="s">
        <v>10</v>
      </c>
      <c r="B9" s="5">
        <f>+'1910'!H9</f>
        <v>2524</v>
      </c>
      <c r="C9" s="5"/>
      <c r="D9" s="5" t="s">
        <v>18</v>
      </c>
      <c r="E9" s="6">
        <v>16</v>
      </c>
      <c r="F9" s="4">
        <v>210</v>
      </c>
      <c r="G9" s="4">
        <f t="shared" si="0"/>
        <v>3360</v>
      </c>
      <c r="H9" s="5">
        <f t="shared" si="1"/>
        <v>2508</v>
      </c>
    </row>
    <row r="10" spans="1:8" x14ac:dyDescent="0.25">
      <c r="A10" s="3" t="s">
        <v>23</v>
      </c>
      <c r="B10" s="5">
        <f>+'1910'!H10</f>
        <v>24</v>
      </c>
      <c r="C10" s="5"/>
      <c r="D10" s="5" t="s">
        <v>18</v>
      </c>
      <c r="E10" s="6"/>
      <c r="F10" s="4"/>
      <c r="G10" s="4">
        <f t="shared" si="0"/>
        <v>0</v>
      </c>
      <c r="H10" s="5">
        <f t="shared" si="1"/>
        <v>24</v>
      </c>
    </row>
    <row r="11" spans="1:8" x14ac:dyDescent="0.25">
      <c r="A11" s="3" t="s">
        <v>11</v>
      </c>
      <c r="B11" s="5">
        <f>+'1910'!H11</f>
        <v>1440</v>
      </c>
      <c r="C11" s="5"/>
      <c r="D11" s="5" t="s">
        <v>18</v>
      </c>
      <c r="E11" s="6">
        <v>30</v>
      </c>
      <c r="F11" s="4">
        <v>290</v>
      </c>
      <c r="G11" s="4">
        <f t="shared" si="0"/>
        <v>8700</v>
      </c>
      <c r="H11" s="5">
        <f t="shared" si="1"/>
        <v>1410</v>
      </c>
    </row>
    <row r="12" spans="1:8" x14ac:dyDescent="0.25">
      <c r="A12" s="3" t="s">
        <v>12</v>
      </c>
      <c r="B12" s="5">
        <f>+'1910'!H12</f>
        <v>2925</v>
      </c>
      <c r="C12" s="5"/>
      <c r="D12" s="5" t="s">
        <v>18</v>
      </c>
      <c r="E12" s="6"/>
      <c r="F12" s="4">
        <v>49.5</v>
      </c>
      <c r="G12" s="4">
        <f t="shared" si="0"/>
        <v>0</v>
      </c>
      <c r="H12" s="5">
        <f t="shared" si="1"/>
        <v>2925</v>
      </c>
    </row>
    <row r="13" spans="1:8" x14ac:dyDescent="0.25">
      <c r="A13" s="3" t="s">
        <v>13</v>
      </c>
      <c r="B13" s="5">
        <f>+'1910'!H13</f>
        <v>475</v>
      </c>
      <c r="C13" s="5"/>
      <c r="D13" s="5" t="s">
        <v>18</v>
      </c>
      <c r="E13" s="6"/>
      <c r="F13" s="4">
        <v>285</v>
      </c>
      <c r="G13" s="4">
        <f t="shared" si="0"/>
        <v>0</v>
      </c>
      <c r="H13" s="5">
        <f t="shared" si="1"/>
        <v>475</v>
      </c>
    </row>
    <row r="14" spans="1:8" x14ac:dyDescent="0.25">
      <c r="A14" s="3" t="s">
        <v>14</v>
      </c>
      <c r="B14" s="5">
        <f>+'1910'!H14</f>
        <v>43750</v>
      </c>
      <c r="C14" s="5"/>
      <c r="D14" s="5" t="s">
        <v>18</v>
      </c>
      <c r="E14" s="6">
        <v>1050</v>
      </c>
      <c r="F14" s="4">
        <v>93</v>
      </c>
      <c r="G14" s="4">
        <f t="shared" si="0"/>
        <v>97650</v>
      </c>
      <c r="H14" s="5">
        <f>B14-E14</f>
        <v>42700</v>
      </c>
    </row>
    <row r="15" spans="1:8" x14ac:dyDescent="0.25">
      <c r="A15" s="3" t="s">
        <v>15</v>
      </c>
      <c r="B15" s="5">
        <f>+'1910'!H15</f>
        <v>2748</v>
      </c>
      <c r="C15" s="5"/>
      <c r="D15" s="5" t="s">
        <v>18</v>
      </c>
      <c r="E15" s="6">
        <v>42</v>
      </c>
      <c r="F15" s="4">
        <v>67.23</v>
      </c>
      <c r="G15" s="4">
        <f t="shared" si="0"/>
        <v>2823.6600000000003</v>
      </c>
      <c r="H15" s="5">
        <f t="shared" si="1"/>
        <v>2706</v>
      </c>
    </row>
    <row r="16" spans="1:8" x14ac:dyDescent="0.25">
      <c r="A16" s="3" t="s">
        <v>16</v>
      </c>
      <c r="B16" s="5">
        <f>+'1910'!H16</f>
        <v>375</v>
      </c>
      <c r="C16" s="5"/>
      <c r="D16" s="5" t="s">
        <v>22</v>
      </c>
      <c r="E16" s="6"/>
      <c r="F16" s="4">
        <v>480</v>
      </c>
      <c r="G16" s="4">
        <f t="shared" si="0"/>
        <v>0</v>
      </c>
      <c r="H16" s="5">
        <f t="shared" si="1"/>
        <v>375</v>
      </c>
    </row>
    <row r="17" spans="1:8" x14ac:dyDescent="0.25">
      <c r="A17" s="3" t="s">
        <v>20</v>
      </c>
      <c r="B17" s="5">
        <f>+'1910'!H17</f>
        <v>31</v>
      </c>
      <c r="C17" s="5"/>
      <c r="D17" s="5" t="s">
        <v>21</v>
      </c>
      <c r="E17" s="6"/>
      <c r="F17" s="4"/>
      <c r="G17" s="4">
        <f t="shared" si="0"/>
        <v>0</v>
      </c>
      <c r="H17" s="5">
        <f t="shared" si="1"/>
        <v>31</v>
      </c>
    </row>
    <row r="18" spans="1:8" x14ac:dyDescent="0.25">
      <c r="A18" s="3"/>
      <c r="B18" s="5"/>
      <c r="C18" s="5"/>
      <c r="D18" s="5"/>
      <c r="E18" s="6"/>
      <c r="F18" s="4"/>
      <c r="G18" s="4"/>
      <c r="H18" s="5"/>
    </row>
    <row r="19" spans="1:8" x14ac:dyDescent="0.25">
      <c r="A19" s="3"/>
      <c r="B19" s="5"/>
      <c r="C19" s="5"/>
      <c r="D19" s="5"/>
      <c r="E19" s="6"/>
      <c r="F19" s="4"/>
      <c r="G19" s="4"/>
      <c r="H19" s="5"/>
    </row>
    <row r="20" spans="1:8" x14ac:dyDescent="0.25">
      <c r="A20" s="3"/>
      <c r="B20" s="5"/>
      <c r="C20" s="5"/>
      <c r="D20" s="5"/>
      <c r="E20" s="6"/>
      <c r="F20" s="4"/>
      <c r="G20" s="4"/>
      <c r="H20" s="5"/>
    </row>
    <row r="21" spans="1:8" x14ac:dyDescent="0.25">
      <c r="A21" s="3"/>
      <c r="B21" s="5"/>
      <c r="C21" s="5"/>
      <c r="D21" s="5"/>
      <c r="E21" s="6"/>
      <c r="F21" s="4"/>
      <c r="G21" s="4"/>
      <c r="H21" s="5"/>
    </row>
    <row r="22" spans="1:8" x14ac:dyDescent="0.25">
      <c r="A22" s="3"/>
      <c r="B22" s="5"/>
      <c r="C22" s="5"/>
      <c r="D22" s="5"/>
      <c r="E22" s="6"/>
      <c r="F22" s="4"/>
      <c r="G22" s="4"/>
      <c r="H22" s="5"/>
    </row>
    <row r="23" spans="1:8" x14ac:dyDescent="0.25">
      <c r="A23" s="3"/>
      <c r="B23" s="5"/>
      <c r="C23" s="5"/>
      <c r="D23" s="5"/>
      <c r="E23" s="6"/>
      <c r="F23" s="4"/>
      <c r="G23" s="4"/>
      <c r="H23" s="5"/>
    </row>
    <row r="24" spans="1:8" x14ac:dyDescent="0.25">
      <c r="A24" s="3"/>
      <c r="B24" s="5"/>
      <c r="C24" s="5"/>
      <c r="D24" s="5"/>
      <c r="E24" s="6"/>
      <c r="F24" s="4"/>
      <c r="G24" s="4"/>
      <c r="H24" s="5"/>
    </row>
    <row r="25" spans="1:8" x14ac:dyDescent="0.25">
      <c r="A25" s="3"/>
      <c r="B25" s="5"/>
      <c r="C25" s="5"/>
      <c r="D25" s="5"/>
      <c r="E25" s="6"/>
      <c r="F25" s="4"/>
      <c r="G25" s="4"/>
      <c r="H25" s="5"/>
    </row>
    <row r="26" spans="1:8" x14ac:dyDescent="0.25">
      <c r="A26" s="3"/>
      <c r="B26" s="5"/>
      <c r="C26" s="5"/>
      <c r="D26" s="5"/>
      <c r="E26" s="6"/>
      <c r="F26" s="4"/>
      <c r="G26" s="4"/>
      <c r="H26" s="5"/>
    </row>
    <row r="27" spans="1:8" x14ac:dyDescent="0.25">
      <c r="A27" s="3"/>
      <c r="B27" s="5"/>
      <c r="C27" s="5"/>
      <c r="D27" s="5"/>
      <c r="E27" s="6"/>
      <c r="F27" s="4"/>
      <c r="G27" s="4"/>
      <c r="H27" s="5"/>
    </row>
    <row r="28" spans="1:8" x14ac:dyDescent="0.25">
      <c r="A28" s="3"/>
      <c r="B28" s="5"/>
      <c r="C28" s="5"/>
      <c r="D28" s="5"/>
      <c r="E28" s="6"/>
      <c r="F28" s="4"/>
      <c r="G28" s="4"/>
      <c r="H28" s="5"/>
    </row>
    <row r="29" spans="1:8" x14ac:dyDescent="0.25">
      <c r="A29" s="3"/>
      <c r="B29" s="5"/>
      <c r="C29" s="5"/>
      <c r="D29" s="5"/>
      <c r="E29" s="6"/>
      <c r="F29" s="4"/>
      <c r="G29" s="4"/>
      <c r="H29" s="5"/>
    </row>
    <row r="30" spans="1:8" x14ac:dyDescent="0.25">
      <c r="A30" s="3"/>
      <c r="B30" s="5"/>
      <c r="C30" s="5"/>
      <c r="D30" s="5"/>
      <c r="E30" s="6"/>
      <c r="F30" s="4"/>
      <c r="G30" s="4"/>
      <c r="H30" s="5"/>
    </row>
    <row r="31" spans="1:8" x14ac:dyDescent="0.25">
      <c r="A31" s="3"/>
      <c r="B31" s="5"/>
      <c r="C31" s="5"/>
      <c r="D31" s="5"/>
      <c r="E31" s="6"/>
      <c r="F31" s="4"/>
      <c r="G31" s="4"/>
      <c r="H31" s="5"/>
    </row>
    <row r="32" spans="1:8" x14ac:dyDescent="0.25">
      <c r="A32" s="3"/>
      <c r="B32" s="5"/>
      <c r="C32" s="5"/>
      <c r="D32" s="5"/>
      <c r="E32" s="6"/>
      <c r="F32" s="4"/>
      <c r="G32" s="4"/>
      <c r="H32" s="5"/>
    </row>
    <row r="33" spans="1:8" x14ac:dyDescent="0.25">
      <c r="A33" s="3"/>
      <c r="B33" s="5"/>
      <c r="C33" s="5"/>
      <c r="D33" s="5"/>
      <c r="E33" s="6"/>
      <c r="F33" s="4"/>
      <c r="G33" s="4"/>
      <c r="H33" s="5"/>
    </row>
    <row r="34" spans="1:8" x14ac:dyDescent="0.25">
      <c r="A34" s="3"/>
      <c r="B34" s="5"/>
      <c r="C34" s="5"/>
      <c r="D34" s="5"/>
      <c r="E34" s="6"/>
      <c r="F34" s="4"/>
      <c r="G34" s="4"/>
      <c r="H34" s="5"/>
    </row>
    <row r="35" spans="1:8" x14ac:dyDescent="0.25">
      <c r="A35" s="3"/>
      <c r="B35" s="5"/>
      <c r="C35" s="5"/>
      <c r="D35" s="5"/>
      <c r="E35" s="6"/>
      <c r="F35" s="4"/>
      <c r="G35" s="4"/>
      <c r="H35" s="5"/>
    </row>
    <row r="36" spans="1:8" x14ac:dyDescent="0.25">
      <c r="A36" s="3"/>
      <c r="B36" s="5"/>
      <c r="C36" s="5"/>
      <c r="D36" s="5"/>
      <c r="E36" s="6"/>
      <c r="F36" s="4"/>
      <c r="G36" s="4"/>
      <c r="H36" s="5"/>
    </row>
    <row r="37" spans="1:8" x14ac:dyDescent="0.25">
      <c r="A37" s="3"/>
      <c r="B37" s="5"/>
      <c r="C37" s="5"/>
      <c r="D37" s="5"/>
      <c r="E37" s="4"/>
      <c r="F37" s="4"/>
      <c r="G37" s="4"/>
      <c r="H37" s="5"/>
    </row>
    <row r="38" spans="1:8" x14ac:dyDescent="0.25">
      <c r="A38" s="3"/>
      <c r="B38" s="5"/>
      <c r="C38" s="5"/>
      <c r="D38" s="5"/>
      <c r="E38" s="4"/>
      <c r="F38" s="4"/>
      <c r="G38" s="4"/>
      <c r="H38" s="5"/>
    </row>
    <row r="39" spans="1:8" ht="18.75" x14ac:dyDescent="0.3">
      <c r="A39" s="7" t="s">
        <v>2</v>
      </c>
      <c r="B39" s="7"/>
      <c r="C39" s="7"/>
      <c r="D39" s="7"/>
      <c r="E39" s="8">
        <f>SUM(E4:E37)</f>
        <v>1144</v>
      </c>
      <c r="F39" s="8"/>
      <c r="G39" s="8"/>
      <c r="H39" s="8"/>
    </row>
  </sheetData>
  <mergeCells count="2">
    <mergeCell ref="A2:A3"/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9"/>
  <sheetViews>
    <sheetView workbookViewId="0">
      <selection activeCell="C9" sqref="C9:C17"/>
    </sheetView>
  </sheetViews>
  <sheetFormatPr baseColWidth="10" defaultRowHeight="15" x14ac:dyDescent="0.25"/>
  <cols>
    <col min="1" max="1" width="16.5703125" customWidth="1"/>
  </cols>
  <sheetData>
    <row r="2" spans="1:8" ht="15.75" x14ac:dyDescent="0.25">
      <c r="A2" s="27" t="s">
        <v>1</v>
      </c>
      <c r="B2" s="31">
        <v>45951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3" t="s">
        <v>5</v>
      </c>
      <c r="B4" s="5">
        <f>+'2010'!H4</f>
        <v>65</v>
      </c>
      <c r="C4" s="5"/>
      <c r="D4" s="5" t="s">
        <v>21</v>
      </c>
      <c r="E4" s="4">
        <v>6</v>
      </c>
      <c r="F4" s="4">
        <v>230.62</v>
      </c>
      <c r="G4" s="4">
        <f>E4*F4</f>
        <v>1383.72</v>
      </c>
      <c r="H4" s="5">
        <f>B4-E4</f>
        <v>59</v>
      </c>
    </row>
    <row r="5" spans="1:8" x14ac:dyDescent="0.25">
      <c r="A5" s="3" t="s">
        <v>6</v>
      </c>
      <c r="B5" s="5">
        <f>+'2010'!H5</f>
        <v>75</v>
      </c>
      <c r="C5" s="5"/>
      <c r="D5" s="5" t="s">
        <v>21</v>
      </c>
      <c r="E5" s="4"/>
      <c r="F5" s="4">
        <v>91.2</v>
      </c>
      <c r="G5" s="4">
        <f t="shared" ref="G5:G17" si="0">E5*F5</f>
        <v>0</v>
      </c>
      <c r="H5" s="5">
        <f t="shared" ref="H5:H17" si="1">B5-E5</f>
        <v>75</v>
      </c>
    </row>
    <row r="6" spans="1:8" x14ac:dyDescent="0.25">
      <c r="A6" s="3" t="s">
        <v>7</v>
      </c>
      <c r="B6" s="5">
        <f>+'2010'!H6</f>
        <v>229</v>
      </c>
      <c r="C6" s="5"/>
      <c r="D6" s="5" t="s">
        <v>21</v>
      </c>
      <c r="E6" s="4">
        <v>2</v>
      </c>
      <c r="F6" s="4">
        <v>3500</v>
      </c>
      <c r="G6" s="4">
        <f t="shared" si="0"/>
        <v>7000</v>
      </c>
      <c r="H6" s="5">
        <f t="shared" si="1"/>
        <v>227</v>
      </c>
    </row>
    <row r="7" spans="1:8" x14ac:dyDescent="0.25">
      <c r="A7" s="3" t="s">
        <v>8</v>
      </c>
      <c r="B7" s="5">
        <f>+'2010'!H7</f>
        <v>19</v>
      </c>
      <c r="C7" s="5"/>
      <c r="D7" s="5" t="s">
        <v>21</v>
      </c>
      <c r="E7" s="4">
        <v>2</v>
      </c>
      <c r="F7" s="4">
        <v>3300</v>
      </c>
      <c r="G7" s="4">
        <f t="shared" si="0"/>
        <v>6600</v>
      </c>
      <c r="H7" s="5">
        <f t="shared" si="1"/>
        <v>17</v>
      </c>
    </row>
    <row r="8" spans="1:8" x14ac:dyDescent="0.25">
      <c r="A8" s="3" t="s">
        <v>9</v>
      </c>
      <c r="B8" s="5">
        <f>+'2010'!H8</f>
        <v>50</v>
      </c>
      <c r="C8" s="5"/>
      <c r="D8" s="5" t="s">
        <v>21</v>
      </c>
      <c r="E8" s="4"/>
      <c r="F8" s="4">
        <v>1554.62</v>
      </c>
      <c r="G8" s="4">
        <f t="shared" si="0"/>
        <v>0</v>
      </c>
      <c r="H8" s="5">
        <f t="shared" si="1"/>
        <v>50</v>
      </c>
    </row>
    <row r="9" spans="1:8" x14ac:dyDescent="0.25">
      <c r="A9" s="3" t="s">
        <v>10</v>
      </c>
      <c r="B9" s="5">
        <f>+'2010'!H9</f>
        <v>2508</v>
      </c>
      <c r="C9" s="5"/>
      <c r="D9" s="5" t="s">
        <v>18</v>
      </c>
      <c r="E9" s="4"/>
      <c r="F9" s="4">
        <v>210</v>
      </c>
      <c r="G9" s="4">
        <f t="shared" si="0"/>
        <v>0</v>
      </c>
      <c r="H9" s="5">
        <f t="shared" si="1"/>
        <v>2508</v>
      </c>
    </row>
    <row r="10" spans="1:8" x14ac:dyDescent="0.25">
      <c r="A10" s="3" t="s">
        <v>23</v>
      </c>
      <c r="B10" s="5">
        <f>+'2010'!H10</f>
        <v>24</v>
      </c>
      <c r="C10" s="5"/>
      <c r="D10" s="5" t="s">
        <v>18</v>
      </c>
      <c r="E10" s="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3" t="s">
        <v>11</v>
      </c>
      <c r="B11" s="5">
        <f>+'2010'!H11</f>
        <v>1410</v>
      </c>
      <c r="C11" s="5"/>
      <c r="D11" s="5" t="s">
        <v>18</v>
      </c>
      <c r="E11" s="4">
        <v>30</v>
      </c>
      <c r="F11" s="4">
        <v>290</v>
      </c>
      <c r="G11" s="4">
        <f t="shared" si="0"/>
        <v>8700</v>
      </c>
      <c r="H11" s="5">
        <f t="shared" si="1"/>
        <v>1380</v>
      </c>
    </row>
    <row r="12" spans="1:8" x14ac:dyDescent="0.25">
      <c r="A12" s="3" t="s">
        <v>12</v>
      </c>
      <c r="B12" s="5">
        <f>+'2010'!H12</f>
        <v>2925</v>
      </c>
      <c r="C12" s="5"/>
      <c r="D12" s="5" t="s">
        <v>18</v>
      </c>
      <c r="E12" s="4">
        <v>50</v>
      </c>
      <c r="F12" s="4">
        <v>49.5</v>
      </c>
      <c r="G12" s="4">
        <f t="shared" si="0"/>
        <v>2475</v>
      </c>
      <c r="H12" s="5">
        <f t="shared" si="1"/>
        <v>2875</v>
      </c>
    </row>
    <row r="13" spans="1:8" x14ac:dyDescent="0.25">
      <c r="A13" s="3" t="s">
        <v>13</v>
      </c>
      <c r="B13" s="5">
        <f>+'2010'!H13</f>
        <v>475</v>
      </c>
      <c r="C13" s="5"/>
      <c r="D13" s="5" t="s">
        <v>18</v>
      </c>
      <c r="E13" s="4"/>
      <c r="F13" s="4">
        <v>285</v>
      </c>
      <c r="G13" s="4">
        <f t="shared" si="0"/>
        <v>0</v>
      </c>
      <c r="H13" s="5">
        <f t="shared" si="1"/>
        <v>475</v>
      </c>
    </row>
    <row r="14" spans="1:8" x14ac:dyDescent="0.25">
      <c r="A14" s="3" t="s">
        <v>14</v>
      </c>
      <c r="B14" s="5">
        <f>+'2010'!H14</f>
        <v>42700</v>
      </c>
      <c r="C14" s="5"/>
      <c r="D14" s="5" t="s">
        <v>18</v>
      </c>
      <c r="E14" s="4">
        <v>1500</v>
      </c>
      <c r="F14" s="4">
        <v>93</v>
      </c>
      <c r="G14" s="4">
        <f t="shared" si="0"/>
        <v>139500</v>
      </c>
      <c r="H14" s="5">
        <f t="shared" si="1"/>
        <v>41200</v>
      </c>
    </row>
    <row r="15" spans="1:8" x14ac:dyDescent="0.25">
      <c r="A15" s="3" t="s">
        <v>15</v>
      </c>
      <c r="B15" s="5">
        <f>+'2010'!H15</f>
        <v>2706</v>
      </c>
      <c r="C15" s="5"/>
      <c r="D15" s="5" t="s">
        <v>18</v>
      </c>
      <c r="E15" s="4">
        <v>70</v>
      </c>
      <c r="F15" s="4">
        <v>67.23</v>
      </c>
      <c r="G15" s="4">
        <f t="shared" si="0"/>
        <v>4706.1000000000004</v>
      </c>
      <c r="H15" s="5">
        <f t="shared" si="1"/>
        <v>2636</v>
      </c>
    </row>
    <row r="16" spans="1:8" x14ac:dyDescent="0.25">
      <c r="A16" s="3" t="s">
        <v>16</v>
      </c>
      <c r="B16" s="5">
        <f>+'2010'!H16</f>
        <v>375</v>
      </c>
      <c r="C16" s="5"/>
      <c r="D16" s="5" t="s">
        <v>22</v>
      </c>
      <c r="E16" s="4"/>
      <c r="F16" s="4">
        <v>480</v>
      </c>
      <c r="G16" s="4">
        <f t="shared" si="0"/>
        <v>0</v>
      </c>
      <c r="H16" s="5">
        <f t="shared" si="1"/>
        <v>375</v>
      </c>
    </row>
    <row r="17" spans="1:8" x14ac:dyDescent="0.25">
      <c r="A17" s="3" t="s">
        <v>20</v>
      </c>
      <c r="B17" s="5">
        <f>+'2010'!H17</f>
        <v>31</v>
      </c>
      <c r="C17" s="5"/>
      <c r="D17" s="5" t="s">
        <v>21</v>
      </c>
      <c r="E17" s="4"/>
      <c r="F17" s="4"/>
      <c r="G17" s="4">
        <f t="shared" si="0"/>
        <v>0</v>
      </c>
      <c r="H17" s="5">
        <f t="shared" si="1"/>
        <v>31</v>
      </c>
    </row>
    <row r="18" spans="1:8" x14ac:dyDescent="0.25">
      <c r="A18" s="3"/>
      <c r="B18" s="5"/>
      <c r="C18" s="5"/>
      <c r="D18" s="5"/>
      <c r="E18" s="4"/>
      <c r="F18" s="4"/>
      <c r="G18" s="4"/>
      <c r="H18" s="5"/>
    </row>
    <row r="19" spans="1:8" x14ac:dyDescent="0.25">
      <c r="A19" s="3"/>
      <c r="B19" s="5"/>
      <c r="C19" s="5"/>
      <c r="D19" s="5"/>
      <c r="E19" s="4"/>
      <c r="F19" s="4"/>
      <c r="G19" s="4"/>
      <c r="H19" s="5"/>
    </row>
    <row r="20" spans="1:8" x14ac:dyDescent="0.25">
      <c r="A20" s="3"/>
      <c r="B20" s="5"/>
      <c r="C20" s="5"/>
      <c r="D20" s="5"/>
      <c r="E20" s="4"/>
      <c r="F20" s="4"/>
      <c r="G20" s="4"/>
      <c r="H20" s="5"/>
    </row>
    <row r="21" spans="1:8" x14ac:dyDescent="0.25">
      <c r="A21" s="3"/>
      <c r="B21" s="5"/>
      <c r="C21" s="5"/>
      <c r="D21" s="5"/>
      <c r="E21" s="4"/>
      <c r="F21" s="4"/>
      <c r="G21" s="4"/>
      <c r="H21" s="5"/>
    </row>
    <row r="22" spans="1:8" x14ac:dyDescent="0.25">
      <c r="A22" s="3"/>
      <c r="B22" s="5"/>
      <c r="C22" s="5"/>
      <c r="D22" s="5"/>
      <c r="E22" s="4"/>
      <c r="F22" s="4"/>
      <c r="G22" s="4"/>
      <c r="H22" s="5"/>
    </row>
    <row r="23" spans="1:8" x14ac:dyDescent="0.25">
      <c r="A23" s="3"/>
      <c r="B23" s="5"/>
      <c r="C23" s="5"/>
      <c r="D23" s="5"/>
      <c r="E23" s="4"/>
      <c r="F23" s="4"/>
      <c r="G23" s="4"/>
      <c r="H23" s="5"/>
    </row>
    <row r="24" spans="1:8" x14ac:dyDescent="0.25">
      <c r="A24" s="3"/>
      <c r="B24" s="5"/>
      <c r="C24" s="5"/>
      <c r="D24" s="5"/>
      <c r="E24" s="4"/>
      <c r="F24" s="4"/>
      <c r="G24" s="4"/>
      <c r="H24" s="5"/>
    </row>
    <row r="25" spans="1:8" x14ac:dyDescent="0.25">
      <c r="A25" s="3"/>
      <c r="B25" s="5"/>
      <c r="C25" s="5"/>
      <c r="D25" s="5"/>
      <c r="E25" s="4"/>
      <c r="F25" s="4"/>
      <c r="G25" s="4"/>
      <c r="H25" s="5"/>
    </row>
    <row r="26" spans="1:8" x14ac:dyDescent="0.25">
      <c r="A26" s="3"/>
      <c r="B26" s="5"/>
      <c r="C26" s="5"/>
      <c r="D26" s="5"/>
      <c r="E26" s="4"/>
      <c r="F26" s="4"/>
      <c r="G26" s="4"/>
      <c r="H26" s="5"/>
    </row>
    <row r="27" spans="1:8" x14ac:dyDescent="0.25">
      <c r="A27" s="3"/>
      <c r="B27" s="5"/>
      <c r="C27" s="5"/>
      <c r="D27" s="5"/>
      <c r="E27" s="4"/>
      <c r="F27" s="4"/>
      <c r="G27" s="4"/>
      <c r="H27" s="5"/>
    </row>
    <row r="28" spans="1:8" x14ac:dyDescent="0.25">
      <c r="A28" s="3"/>
      <c r="B28" s="5"/>
      <c r="C28" s="5"/>
      <c r="D28" s="5"/>
      <c r="E28" s="4"/>
      <c r="F28" s="4"/>
      <c r="G28" s="4"/>
      <c r="H28" s="5"/>
    </row>
    <row r="29" spans="1:8" x14ac:dyDescent="0.25">
      <c r="A29" s="3"/>
      <c r="B29" s="5"/>
      <c r="C29" s="5"/>
      <c r="D29" s="5"/>
      <c r="E29" s="4"/>
      <c r="F29" s="4"/>
      <c r="G29" s="4"/>
      <c r="H29" s="5"/>
    </row>
    <row r="30" spans="1:8" x14ac:dyDescent="0.25">
      <c r="A30" s="3"/>
      <c r="B30" s="5"/>
      <c r="C30" s="5"/>
      <c r="D30" s="5"/>
      <c r="E30" s="4"/>
      <c r="F30" s="4"/>
      <c r="G30" s="4"/>
      <c r="H30" s="5"/>
    </row>
    <row r="31" spans="1:8" x14ac:dyDescent="0.25">
      <c r="A31" s="3"/>
      <c r="B31" s="5"/>
      <c r="C31" s="5"/>
      <c r="D31" s="5"/>
      <c r="E31" s="4"/>
      <c r="F31" s="4"/>
      <c r="G31" s="4"/>
      <c r="H31" s="5"/>
    </row>
    <row r="32" spans="1:8" x14ac:dyDescent="0.25">
      <c r="A32" s="3"/>
      <c r="B32" s="5"/>
      <c r="C32" s="5"/>
      <c r="D32" s="5"/>
      <c r="E32" s="4"/>
      <c r="F32" s="4"/>
      <c r="G32" s="4"/>
      <c r="H32" s="5"/>
    </row>
    <row r="33" spans="1:8" x14ac:dyDescent="0.25">
      <c r="A33" s="3"/>
      <c r="B33" s="5"/>
      <c r="C33" s="5"/>
      <c r="D33" s="5"/>
      <c r="E33" s="4"/>
      <c r="F33" s="4"/>
      <c r="G33" s="4"/>
      <c r="H33" s="5"/>
    </row>
    <row r="34" spans="1:8" x14ac:dyDescent="0.25">
      <c r="A34" s="3"/>
      <c r="B34" s="5"/>
      <c r="C34" s="5"/>
      <c r="D34" s="5"/>
      <c r="E34" s="4"/>
      <c r="F34" s="4"/>
      <c r="G34" s="4"/>
      <c r="H34" s="5"/>
    </row>
    <row r="35" spans="1:8" x14ac:dyDescent="0.25">
      <c r="A35" s="3"/>
      <c r="B35" s="5"/>
      <c r="C35" s="5"/>
      <c r="D35" s="5"/>
      <c r="E35" s="4"/>
      <c r="F35" s="4"/>
      <c r="G35" s="4"/>
      <c r="H35" s="5"/>
    </row>
    <row r="36" spans="1:8" x14ac:dyDescent="0.25">
      <c r="A36" s="3"/>
      <c r="B36" s="5"/>
      <c r="C36" s="5"/>
      <c r="D36" s="5"/>
      <c r="E36" s="4"/>
      <c r="F36" s="4"/>
      <c r="G36" s="4"/>
      <c r="H36" s="5"/>
    </row>
    <row r="37" spans="1:8" x14ac:dyDescent="0.25">
      <c r="A37" s="3"/>
      <c r="B37" s="5"/>
      <c r="C37" s="5"/>
      <c r="D37" s="5"/>
      <c r="E37" s="4"/>
      <c r="F37" s="4"/>
      <c r="G37" s="4"/>
      <c r="H37" s="5"/>
    </row>
    <row r="38" spans="1:8" x14ac:dyDescent="0.25">
      <c r="A38" s="3"/>
      <c r="B38" s="5"/>
      <c r="C38" s="5"/>
      <c r="D38" s="5"/>
      <c r="E38" s="4"/>
      <c r="F38" s="4"/>
      <c r="G38" s="4"/>
      <c r="H38" s="5"/>
    </row>
    <row r="39" spans="1:8" ht="18.75" x14ac:dyDescent="0.3">
      <c r="A39" s="7" t="s">
        <v>2</v>
      </c>
      <c r="B39" s="7"/>
      <c r="C39" s="7"/>
      <c r="D39" s="7"/>
      <c r="E39" s="8">
        <f>SUM(E4:E37)</f>
        <v>1660</v>
      </c>
      <c r="F39" s="8"/>
      <c r="G39" s="8"/>
      <c r="H39" s="8"/>
    </row>
  </sheetData>
  <mergeCells count="2">
    <mergeCell ref="A2:A3"/>
    <mergeCell ref="B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9"/>
  <sheetViews>
    <sheetView topLeftCell="A7" workbookViewId="0">
      <selection activeCell="C9" sqref="C9:C17"/>
    </sheetView>
  </sheetViews>
  <sheetFormatPr baseColWidth="10" defaultRowHeight="15" x14ac:dyDescent="0.25"/>
  <cols>
    <col min="1" max="1" width="16.28515625" customWidth="1"/>
  </cols>
  <sheetData>
    <row r="2" spans="1:10" ht="15.75" x14ac:dyDescent="0.25">
      <c r="A2" s="27" t="s">
        <v>1</v>
      </c>
      <c r="B2" s="31">
        <v>45952</v>
      </c>
      <c r="C2" s="32"/>
      <c r="D2" s="32"/>
      <c r="E2" s="32"/>
      <c r="F2" s="32"/>
      <c r="G2" s="32"/>
      <c r="H2" s="33"/>
    </row>
    <row r="3" spans="1:10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10" x14ac:dyDescent="0.25">
      <c r="A4" s="3" t="s">
        <v>5</v>
      </c>
      <c r="B4" s="5">
        <f>+'2110'!H4</f>
        <v>59</v>
      </c>
      <c r="C4" s="5"/>
      <c r="D4" s="5" t="s">
        <v>21</v>
      </c>
      <c r="E4" s="4"/>
      <c r="F4" s="4">
        <v>230.62</v>
      </c>
      <c r="G4" s="4">
        <f>E4*F4</f>
        <v>0</v>
      </c>
      <c r="H4" s="5">
        <f>B4-E4</f>
        <v>59</v>
      </c>
    </row>
    <row r="5" spans="1:10" x14ac:dyDescent="0.25">
      <c r="A5" s="3" t="s">
        <v>6</v>
      </c>
      <c r="B5" s="5">
        <f>+'2110'!H5</f>
        <v>75</v>
      </c>
      <c r="C5" s="5"/>
      <c r="D5" s="5" t="s">
        <v>21</v>
      </c>
      <c r="E5" s="4"/>
      <c r="F5" s="4">
        <v>91.2</v>
      </c>
      <c r="G5" s="4">
        <f t="shared" ref="G5:G17" si="0">E5*F5</f>
        <v>0</v>
      </c>
      <c r="H5" s="5">
        <f t="shared" ref="H5:H16" si="1">B5-E5</f>
        <v>75</v>
      </c>
    </row>
    <row r="6" spans="1:10" x14ac:dyDescent="0.25">
      <c r="A6" s="3" t="s">
        <v>7</v>
      </c>
      <c r="B6" s="5">
        <f>+'2110'!H6</f>
        <v>227</v>
      </c>
      <c r="C6" s="5"/>
      <c r="D6" s="5" t="s">
        <v>21</v>
      </c>
      <c r="E6" s="4">
        <v>2</v>
      </c>
      <c r="F6" s="4">
        <v>3500</v>
      </c>
      <c r="G6" s="4">
        <f t="shared" si="0"/>
        <v>7000</v>
      </c>
      <c r="H6" s="5">
        <f t="shared" si="1"/>
        <v>225</v>
      </c>
    </row>
    <row r="7" spans="1:10" x14ac:dyDescent="0.25">
      <c r="A7" s="3" t="s">
        <v>8</v>
      </c>
      <c r="B7" s="5">
        <f>+'2110'!H7</f>
        <v>17</v>
      </c>
      <c r="C7" s="5"/>
      <c r="D7" s="5" t="s">
        <v>21</v>
      </c>
      <c r="E7" s="4"/>
      <c r="F7" s="4">
        <v>3300</v>
      </c>
      <c r="G7" s="4">
        <f t="shared" si="0"/>
        <v>0</v>
      </c>
      <c r="H7" s="5">
        <f t="shared" si="1"/>
        <v>17</v>
      </c>
    </row>
    <row r="8" spans="1:10" x14ac:dyDescent="0.25">
      <c r="A8" s="3" t="s">
        <v>9</v>
      </c>
      <c r="B8" s="5">
        <f>+'2110'!H8</f>
        <v>50</v>
      </c>
      <c r="C8" s="5"/>
      <c r="D8" s="5" t="s">
        <v>21</v>
      </c>
      <c r="E8" s="4">
        <v>1</v>
      </c>
      <c r="F8" s="4">
        <v>1554.62</v>
      </c>
      <c r="G8" s="4">
        <f t="shared" si="0"/>
        <v>1554.62</v>
      </c>
      <c r="H8" s="5">
        <f t="shared" si="1"/>
        <v>49</v>
      </c>
    </row>
    <row r="9" spans="1:10" x14ac:dyDescent="0.25">
      <c r="A9" s="3" t="s">
        <v>10</v>
      </c>
      <c r="B9" s="5">
        <f>+'2110'!H9</f>
        <v>2508</v>
      </c>
      <c r="C9" s="5"/>
      <c r="D9" s="5" t="s">
        <v>18</v>
      </c>
      <c r="E9" s="4">
        <v>32</v>
      </c>
      <c r="F9" s="4">
        <v>210</v>
      </c>
      <c r="G9" s="4">
        <f t="shared" si="0"/>
        <v>6720</v>
      </c>
      <c r="H9" s="5">
        <f t="shared" si="1"/>
        <v>2476</v>
      </c>
    </row>
    <row r="10" spans="1:10" x14ac:dyDescent="0.25">
      <c r="A10" s="3" t="s">
        <v>23</v>
      </c>
      <c r="B10" s="5">
        <f>+'2110'!H10</f>
        <v>24</v>
      </c>
      <c r="C10" s="5"/>
      <c r="D10" s="5" t="s">
        <v>18</v>
      </c>
      <c r="E10" s="4"/>
      <c r="F10" s="4"/>
      <c r="G10" s="4">
        <f t="shared" si="0"/>
        <v>0</v>
      </c>
      <c r="H10" s="5">
        <f t="shared" si="1"/>
        <v>24</v>
      </c>
    </row>
    <row r="11" spans="1:10" x14ac:dyDescent="0.25">
      <c r="A11" s="3" t="s">
        <v>11</v>
      </c>
      <c r="B11" s="5">
        <f>+'2110'!H11</f>
        <v>1380</v>
      </c>
      <c r="C11" s="5"/>
      <c r="D11" s="5" t="s">
        <v>18</v>
      </c>
      <c r="E11" s="4">
        <v>60</v>
      </c>
      <c r="F11" s="4">
        <v>290</v>
      </c>
      <c r="G11" s="4">
        <f t="shared" si="0"/>
        <v>17400</v>
      </c>
      <c r="H11" s="5">
        <f t="shared" si="1"/>
        <v>1320</v>
      </c>
    </row>
    <row r="12" spans="1:10" x14ac:dyDescent="0.25">
      <c r="A12" s="3" t="s">
        <v>12</v>
      </c>
      <c r="B12" s="5">
        <f>+'2110'!H12</f>
        <v>2875</v>
      </c>
      <c r="C12" s="5"/>
      <c r="D12" s="5" t="s">
        <v>18</v>
      </c>
      <c r="E12" s="4"/>
      <c r="F12" s="4">
        <v>49.5</v>
      </c>
      <c r="G12" s="4">
        <f t="shared" si="0"/>
        <v>0</v>
      </c>
      <c r="H12" s="5">
        <f t="shared" si="1"/>
        <v>2875</v>
      </c>
    </row>
    <row r="13" spans="1:10" x14ac:dyDescent="0.25">
      <c r="A13" s="3" t="s">
        <v>13</v>
      </c>
      <c r="B13" s="5">
        <f>+'2110'!H13</f>
        <v>475</v>
      </c>
      <c r="C13" s="5"/>
      <c r="D13" s="5" t="s">
        <v>18</v>
      </c>
      <c r="E13" s="4"/>
      <c r="F13" s="4">
        <v>285</v>
      </c>
      <c r="G13" s="4">
        <f t="shared" si="0"/>
        <v>0</v>
      </c>
      <c r="H13" s="5">
        <f t="shared" si="1"/>
        <v>475</v>
      </c>
    </row>
    <row r="14" spans="1:10" x14ac:dyDescent="0.25">
      <c r="A14" s="3" t="s">
        <v>14</v>
      </c>
      <c r="B14" s="5">
        <f>+'2110'!H14</f>
        <v>41200</v>
      </c>
      <c r="C14" s="5"/>
      <c r="D14" s="5" t="s">
        <v>18</v>
      </c>
      <c r="E14" s="4">
        <v>1500</v>
      </c>
      <c r="F14" s="4">
        <v>93</v>
      </c>
      <c r="G14" s="4">
        <f t="shared" si="0"/>
        <v>139500</v>
      </c>
      <c r="H14" s="5">
        <f t="shared" si="1"/>
        <v>39700</v>
      </c>
      <c r="J14">
        <f>1320/30</f>
        <v>44</v>
      </c>
    </row>
    <row r="15" spans="1:10" x14ac:dyDescent="0.25">
      <c r="A15" s="3" t="s">
        <v>15</v>
      </c>
      <c r="B15" s="5">
        <f>+'2110'!H15</f>
        <v>2636</v>
      </c>
      <c r="C15" s="5"/>
      <c r="D15" s="5" t="s">
        <v>18</v>
      </c>
      <c r="E15" s="4">
        <v>56</v>
      </c>
      <c r="F15" s="4">
        <v>67.23</v>
      </c>
      <c r="G15" s="4">
        <f t="shared" si="0"/>
        <v>3764.88</v>
      </c>
      <c r="H15" s="5">
        <f t="shared" si="1"/>
        <v>2580</v>
      </c>
    </row>
    <row r="16" spans="1:10" x14ac:dyDescent="0.25">
      <c r="A16" s="3" t="s">
        <v>16</v>
      </c>
      <c r="B16" s="5">
        <f>+'2110'!H16</f>
        <v>375</v>
      </c>
      <c r="C16" s="5"/>
      <c r="D16" s="5" t="s">
        <v>22</v>
      </c>
      <c r="E16" s="4">
        <v>25</v>
      </c>
      <c r="F16" s="4">
        <v>480</v>
      </c>
      <c r="G16" s="4">
        <f t="shared" si="0"/>
        <v>12000</v>
      </c>
      <c r="H16" s="5">
        <f t="shared" si="1"/>
        <v>350</v>
      </c>
    </row>
    <row r="17" spans="1:8" x14ac:dyDescent="0.25">
      <c r="A17" s="3" t="s">
        <v>20</v>
      </c>
      <c r="B17" s="5">
        <f>+'2110'!H17</f>
        <v>31</v>
      </c>
      <c r="C17" s="5"/>
      <c r="D17" s="5" t="s">
        <v>21</v>
      </c>
      <c r="E17" s="4"/>
      <c r="F17" s="4"/>
      <c r="G17" s="4">
        <f t="shared" si="0"/>
        <v>0</v>
      </c>
      <c r="H17" s="5">
        <f>B17-E17</f>
        <v>31</v>
      </c>
    </row>
    <row r="18" spans="1:8" x14ac:dyDescent="0.25">
      <c r="A18" s="3"/>
      <c r="B18" s="5"/>
      <c r="C18" s="5"/>
      <c r="D18" s="5"/>
      <c r="E18" s="4"/>
      <c r="F18" s="4"/>
      <c r="G18" s="4"/>
      <c r="H18" s="5"/>
    </row>
    <row r="19" spans="1:8" x14ac:dyDescent="0.25">
      <c r="A19" s="3"/>
      <c r="B19" s="5"/>
      <c r="C19" s="5"/>
      <c r="D19" s="5"/>
      <c r="E19" s="4"/>
      <c r="F19" s="4"/>
      <c r="G19" s="4"/>
      <c r="H19" s="5"/>
    </row>
    <row r="20" spans="1:8" x14ac:dyDescent="0.25">
      <c r="A20" s="3"/>
      <c r="B20" s="5"/>
      <c r="C20" s="5"/>
      <c r="D20" s="5"/>
      <c r="E20" s="4"/>
      <c r="F20" s="4"/>
      <c r="G20" s="4"/>
      <c r="H20" s="5"/>
    </row>
    <row r="21" spans="1:8" x14ac:dyDescent="0.25">
      <c r="A21" s="3"/>
      <c r="B21" s="5"/>
      <c r="C21" s="5"/>
      <c r="D21" s="5"/>
      <c r="E21" s="4"/>
      <c r="F21" s="4"/>
      <c r="G21" s="4"/>
      <c r="H21" s="5"/>
    </row>
    <row r="22" spans="1:8" x14ac:dyDescent="0.25">
      <c r="A22" s="3"/>
      <c r="B22" s="5"/>
      <c r="C22" s="5"/>
      <c r="D22" s="5"/>
      <c r="E22" s="4"/>
      <c r="F22" s="4"/>
      <c r="G22" s="4"/>
      <c r="H22" s="5"/>
    </row>
    <row r="23" spans="1:8" x14ac:dyDescent="0.25">
      <c r="A23" s="3"/>
      <c r="B23" s="5"/>
      <c r="C23" s="5"/>
      <c r="D23" s="5"/>
      <c r="E23" s="4"/>
      <c r="F23" s="4"/>
      <c r="G23" s="4"/>
      <c r="H23" s="5"/>
    </row>
    <row r="24" spans="1:8" x14ac:dyDescent="0.25">
      <c r="A24" s="3"/>
      <c r="B24" s="5"/>
      <c r="C24" s="5"/>
      <c r="D24" s="5"/>
      <c r="E24" s="4"/>
      <c r="F24" s="4"/>
      <c r="G24" s="4"/>
      <c r="H24" s="5"/>
    </row>
    <row r="25" spans="1:8" x14ac:dyDescent="0.25">
      <c r="A25" s="3"/>
      <c r="B25" s="5"/>
      <c r="C25" s="5"/>
      <c r="D25" s="5"/>
      <c r="E25" s="4"/>
      <c r="F25" s="4"/>
      <c r="G25" s="4"/>
      <c r="H25" s="5"/>
    </row>
    <row r="26" spans="1:8" x14ac:dyDescent="0.25">
      <c r="A26" s="3"/>
      <c r="B26" s="5"/>
      <c r="C26" s="5"/>
      <c r="D26" s="5"/>
      <c r="E26" s="4"/>
      <c r="F26" s="4"/>
      <c r="G26" s="4"/>
      <c r="H26" s="5"/>
    </row>
    <row r="27" spans="1:8" x14ac:dyDescent="0.25">
      <c r="A27" s="3"/>
      <c r="B27" s="5"/>
      <c r="C27" s="5"/>
      <c r="D27" s="5"/>
      <c r="E27" s="4"/>
      <c r="F27" s="4"/>
      <c r="G27" s="4"/>
      <c r="H27" s="5"/>
    </row>
    <row r="28" spans="1:8" x14ac:dyDescent="0.25">
      <c r="A28" s="3"/>
      <c r="B28" s="5"/>
      <c r="C28" s="5"/>
      <c r="D28" s="5"/>
      <c r="E28" s="4"/>
      <c r="F28" s="4"/>
      <c r="G28" s="4"/>
      <c r="H28" s="5"/>
    </row>
    <row r="29" spans="1:8" x14ac:dyDescent="0.25">
      <c r="A29" s="3"/>
      <c r="B29" s="5"/>
      <c r="C29" s="5"/>
      <c r="D29" s="5"/>
      <c r="E29" s="4"/>
      <c r="F29" s="4"/>
      <c r="G29" s="4"/>
      <c r="H29" s="5"/>
    </row>
    <row r="30" spans="1:8" x14ac:dyDescent="0.25">
      <c r="A30" s="3"/>
      <c r="B30" s="5"/>
      <c r="C30" s="5"/>
      <c r="D30" s="5"/>
      <c r="E30" s="4"/>
      <c r="F30" s="4"/>
      <c r="G30" s="4"/>
      <c r="H30" s="5"/>
    </row>
    <row r="31" spans="1:8" x14ac:dyDescent="0.25">
      <c r="A31" s="3"/>
      <c r="B31" s="5"/>
      <c r="C31" s="5"/>
      <c r="D31" s="5"/>
      <c r="E31" s="4"/>
      <c r="F31" s="4"/>
      <c r="G31" s="4"/>
      <c r="H31" s="5"/>
    </row>
    <row r="32" spans="1:8" x14ac:dyDescent="0.25">
      <c r="A32" s="3"/>
      <c r="B32" s="5"/>
      <c r="C32" s="5"/>
      <c r="D32" s="5"/>
      <c r="E32" s="4"/>
      <c r="F32" s="4"/>
      <c r="G32" s="4"/>
      <c r="H32" s="5"/>
    </row>
    <row r="33" spans="1:8" x14ac:dyDescent="0.25">
      <c r="A33" s="3"/>
      <c r="B33" s="5"/>
      <c r="C33" s="5"/>
      <c r="D33" s="5"/>
      <c r="E33" s="4"/>
      <c r="F33" s="4"/>
      <c r="G33" s="4"/>
      <c r="H33" s="5"/>
    </row>
    <row r="34" spans="1:8" x14ac:dyDescent="0.25">
      <c r="A34" s="3"/>
      <c r="B34" s="5"/>
      <c r="C34" s="5"/>
      <c r="D34" s="5"/>
      <c r="E34" s="4"/>
      <c r="F34" s="4"/>
      <c r="G34" s="4"/>
      <c r="H34" s="5"/>
    </row>
    <row r="35" spans="1:8" x14ac:dyDescent="0.25">
      <c r="A35" s="3"/>
      <c r="B35" s="5"/>
      <c r="C35" s="5"/>
      <c r="D35" s="5"/>
      <c r="E35" s="4"/>
      <c r="F35" s="4"/>
      <c r="G35" s="4"/>
      <c r="H35" s="5"/>
    </row>
    <row r="36" spans="1:8" x14ac:dyDescent="0.25">
      <c r="A36" s="3"/>
      <c r="B36" s="5"/>
      <c r="C36" s="5"/>
      <c r="D36" s="5"/>
      <c r="E36" s="4"/>
      <c r="F36" s="4"/>
      <c r="G36" s="4"/>
      <c r="H36" s="5"/>
    </row>
    <row r="37" spans="1:8" x14ac:dyDescent="0.25">
      <c r="A37" s="3"/>
      <c r="B37" s="5"/>
      <c r="C37" s="5"/>
      <c r="D37" s="5"/>
      <c r="E37" s="4"/>
      <c r="F37" s="4"/>
      <c r="G37" s="4"/>
      <c r="H37" s="5"/>
    </row>
    <row r="38" spans="1:8" x14ac:dyDescent="0.25">
      <c r="A38" s="3"/>
      <c r="B38" s="5"/>
      <c r="C38" s="5"/>
      <c r="D38" s="5"/>
      <c r="E38" s="4"/>
      <c r="F38" s="4"/>
      <c r="G38" s="4"/>
      <c r="H38" s="5"/>
    </row>
    <row r="39" spans="1:8" ht="18.75" x14ac:dyDescent="0.3">
      <c r="A39" s="7" t="s">
        <v>2</v>
      </c>
      <c r="B39" s="7"/>
      <c r="C39" s="7"/>
      <c r="D39" s="7"/>
      <c r="E39" s="8">
        <f>SUM(E4:E37)</f>
        <v>1676</v>
      </c>
      <c r="F39" s="8"/>
      <c r="G39" s="8"/>
      <c r="H39" s="8"/>
    </row>
  </sheetData>
  <mergeCells count="2">
    <mergeCell ref="A2:A3"/>
    <mergeCell ref="B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7"/>
  <sheetViews>
    <sheetView workbookViewId="0">
      <selection activeCell="I65" sqref="I65"/>
    </sheetView>
  </sheetViews>
  <sheetFormatPr baseColWidth="10" defaultRowHeight="15" x14ac:dyDescent="0.25"/>
  <cols>
    <col min="1" max="1" width="14.85546875" customWidth="1"/>
  </cols>
  <sheetData>
    <row r="2" spans="1:8" ht="15.75" x14ac:dyDescent="0.25">
      <c r="A2" s="27" t="s">
        <v>1</v>
      </c>
      <c r="B2" s="31">
        <v>45953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3" t="s">
        <v>5</v>
      </c>
      <c r="B4" s="5">
        <f>+'2210'!H4</f>
        <v>59</v>
      </c>
      <c r="C4" s="5"/>
      <c r="D4" s="5" t="s">
        <v>21</v>
      </c>
      <c r="E4" s="4">
        <v>6</v>
      </c>
      <c r="F4" s="4">
        <v>230.62</v>
      </c>
      <c r="G4" s="4">
        <f>E4*F4</f>
        <v>1383.72</v>
      </c>
      <c r="H4" s="5">
        <f>B4-E4</f>
        <v>53</v>
      </c>
    </row>
    <row r="5" spans="1:8" x14ac:dyDescent="0.25">
      <c r="A5" s="3" t="s">
        <v>6</v>
      </c>
      <c r="B5" s="5">
        <f>+'2210'!H5</f>
        <v>75</v>
      </c>
      <c r="C5" s="5"/>
      <c r="D5" s="5" t="s">
        <v>21</v>
      </c>
      <c r="E5" s="4"/>
      <c r="F5" s="4">
        <v>91.2</v>
      </c>
      <c r="G5" s="4">
        <f t="shared" ref="G5:G17" si="0">E5*F5</f>
        <v>0</v>
      </c>
      <c r="H5" s="5">
        <f t="shared" ref="H5:H16" si="1">B5-E5</f>
        <v>75</v>
      </c>
    </row>
    <row r="6" spans="1:8" x14ac:dyDescent="0.25">
      <c r="A6" s="3" t="s">
        <v>7</v>
      </c>
      <c r="B6" s="5">
        <f>+'2210'!H6</f>
        <v>225</v>
      </c>
      <c r="C6" s="5"/>
      <c r="D6" s="5" t="s">
        <v>21</v>
      </c>
      <c r="E6" s="4">
        <v>3</v>
      </c>
      <c r="F6" s="4">
        <v>3500</v>
      </c>
      <c r="G6" s="4">
        <f t="shared" si="0"/>
        <v>10500</v>
      </c>
      <c r="H6" s="5">
        <f t="shared" si="1"/>
        <v>222</v>
      </c>
    </row>
    <row r="7" spans="1:8" x14ac:dyDescent="0.25">
      <c r="A7" s="3" t="s">
        <v>8</v>
      </c>
      <c r="B7" s="5">
        <f>+'2210'!H7</f>
        <v>17</v>
      </c>
      <c r="C7" s="5"/>
      <c r="D7" s="5" t="s">
        <v>21</v>
      </c>
      <c r="E7" s="4">
        <v>1</v>
      </c>
      <c r="F7" s="4">
        <v>3300</v>
      </c>
      <c r="G7" s="4">
        <f t="shared" si="0"/>
        <v>3300</v>
      </c>
      <c r="H7" s="5">
        <f t="shared" si="1"/>
        <v>16</v>
      </c>
    </row>
    <row r="8" spans="1:8" x14ac:dyDescent="0.25">
      <c r="A8" s="3" t="s">
        <v>9</v>
      </c>
      <c r="B8" s="5">
        <f>+'2210'!H8</f>
        <v>49</v>
      </c>
      <c r="C8" s="5"/>
      <c r="D8" s="5" t="s">
        <v>21</v>
      </c>
      <c r="E8" s="4"/>
      <c r="F8" s="4">
        <v>1554.62</v>
      </c>
      <c r="G8" s="4">
        <f t="shared" si="0"/>
        <v>0</v>
      </c>
      <c r="H8" s="5">
        <f t="shared" si="1"/>
        <v>49</v>
      </c>
    </row>
    <row r="9" spans="1:8" x14ac:dyDescent="0.25">
      <c r="A9" s="3" t="s">
        <v>10</v>
      </c>
      <c r="B9" s="5">
        <f>+'2210'!H9</f>
        <v>2476</v>
      </c>
      <c r="C9" s="5"/>
      <c r="D9" s="5" t="s">
        <v>18</v>
      </c>
      <c r="E9" s="4">
        <f>16*3</f>
        <v>48</v>
      </c>
      <c r="F9" s="4">
        <v>210</v>
      </c>
      <c r="G9" s="4">
        <f t="shared" si="0"/>
        <v>10080</v>
      </c>
      <c r="H9" s="5">
        <f t="shared" si="1"/>
        <v>2428</v>
      </c>
    </row>
    <row r="10" spans="1:8" x14ac:dyDescent="0.25">
      <c r="A10" s="3" t="s">
        <v>23</v>
      </c>
      <c r="B10" s="5">
        <f>+'2210'!H10</f>
        <v>24</v>
      </c>
      <c r="C10" s="5"/>
      <c r="D10" s="5" t="s">
        <v>18</v>
      </c>
      <c r="E10" s="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3" t="s">
        <v>11</v>
      </c>
      <c r="B11" s="5">
        <f>+'2210'!H11</f>
        <v>1320</v>
      </c>
      <c r="C11" s="5"/>
      <c r="D11" s="5" t="s">
        <v>18</v>
      </c>
      <c r="E11" s="4">
        <v>90</v>
      </c>
      <c r="F11" s="4">
        <v>290</v>
      </c>
      <c r="G11" s="4">
        <f t="shared" si="0"/>
        <v>26100</v>
      </c>
      <c r="H11" s="5">
        <f t="shared" si="1"/>
        <v>1230</v>
      </c>
    </row>
    <row r="12" spans="1:8" x14ac:dyDescent="0.25">
      <c r="A12" s="3" t="s">
        <v>12</v>
      </c>
      <c r="B12" s="5">
        <f>+'2210'!H12</f>
        <v>2875</v>
      </c>
      <c r="C12" s="5"/>
      <c r="D12" s="5" t="s">
        <v>18</v>
      </c>
      <c r="E12" s="4"/>
      <c r="F12" s="4">
        <v>49.5</v>
      </c>
      <c r="G12" s="4">
        <f t="shared" si="0"/>
        <v>0</v>
      </c>
      <c r="H12" s="5">
        <f t="shared" si="1"/>
        <v>2875</v>
      </c>
    </row>
    <row r="13" spans="1:8" x14ac:dyDescent="0.25">
      <c r="A13" s="3" t="s">
        <v>13</v>
      </c>
      <c r="B13" s="5">
        <f>+'2210'!H13</f>
        <v>475</v>
      </c>
      <c r="C13" s="5"/>
      <c r="D13" s="5" t="s">
        <v>18</v>
      </c>
      <c r="E13" s="4">
        <v>75</v>
      </c>
      <c r="F13" s="4">
        <v>285</v>
      </c>
      <c r="G13" s="4">
        <f t="shared" si="0"/>
        <v>21375</v>
      </c>
      <c r="H13" s="5">
        <f t="shared" si="1"/>
        <v>400</v>
      </c>
    </row>
    <row r="14" spans="1:8" x14ac:dyDescent="0.25">
      <c r="A14" s="3" t="s">
        <v>14</v>
      </c>
      <c r="B14" s="5">
        <f>+'2210'!H14</f>
        <v>39700</v>
      </c>
      <c r="C14" s="5"/>
      <c r="D14" s="5" t="s">
        <v>18</v>
      </c>
      <c r="E14" s="4">
        <v>1250</v>
      </c>
      <c r="F14" s="4">
        <v>93</v>
      </c>
      <c r="G14" s="4">
        <f t="shared" si="0"/>
        <v>116250</v>
      </c>
      <c r="H14" s="5">
        <f t="shared" si="1"/>
        <v>38450</v>
      </c>
    </row>
    <row r="15" spans="1:8" x14ac:dyDescent="0.25">
      <c r="A15" s="3" t="s">
        <v>15</v>
      </c>
      <c r="B15" s="5">
        <f>+'2210'!H15</f>
        <v>2580</v>
      </c>
      <c r="C15" s="5"/>
      <c r="D15" s="5" t="s">
        <v>18</v>
      </c>
      <c r="E15" s="4">
        <v>56</v>
      </c>
      <c r="F15" s="4">
        <v>67.23</v>
      </c>
      <c r="G15" s="4">
        <f t="shared" si="0"/>
        <v>3764.88</v>
      </c>
      <c r="H15" s="5">
        <f t="shared" si="1"/>
        <v>2524</v>
      </c>
    </row>
    <row r="16" spans="1:8" x14ac:dyDescent="0.25">
      <c r="A16" s="3" t="s">
        <v>16</v>
      </c>
      <c r="B16" s="5">
        <f>+'2210'!H16</f>
        <v>350</v>
      </c>
      <c r="C16" s="5"/>
      <c r="D16" s="5" t="s">
        <v>22</v>
      </c>
      <c r="E16" s="4">
        <v>25</v>
      </c>
      <c r="F16" s="4">
        <v>480</v>
      </c>
      <c r="G16" s="4">
        <f t="shared" si="0"/>
        <v>12000</v>
      </c>
      <c r="H16" s="5">
        <f t="shared" si="1"/>
        <v>325</v>
      </c>
    </row>
    <row r="17" spans="1:8" x14ac:dyDescent="0.25">
      <c r="A17" s="3" t="s">
        <v>20</v>
      </c>
      <c r="B17" s="5">
        <f>+'2210'!H17</f>
        <v>31</v>
      </c>
      <c r="C17" s="5"/>
      <c r="D17" s="5" t="s">
        <v>21</v>
      </c>
      <c r="E17" s="4">
        <v>5</v>
      </c>
      <c r="F17" s="4"/>
      <c r="G17" s="4">
        <f t="shared" si="0"/>
        <v>0</v>
      </c>
      <c r="H17" s="5">
        <f>B17-E17</f>
        <v>26</v>
      </c>
    </row>
    <row r="18" spans="1:8" x14ac:dyDescent="0.25">
      <c r="A18" s="3" t="s">
        <v>60</v>
      </c>
      <c r="B18" s="5"/>
      <c r="C18" s="5">
        <v>400</v>
      </c>
      <c r="D18" s="5" t="s">
        <v>18</v>
      </c>
      <c r="E18" s="4"/>
      <c r="F18" s="4"/>
      <c r="G18" s="4"/>
      <c r="H18" s="5">
        <f>B18-E18+C18</f>
        <v>400</v>
      </c>
    </row>
    <row r="19" spans="1:8" x14ac:dyDescent="0.25">
      <c r="A19" s="3" t="s">
        <v>61</v>
      </c>
      <c r="B19" s="5"/>
      <c r="C19" s="5">
        <v>200</v>
      </c>
      <c r="D19" s="5" t="s">
        <v>18</v>
      </c>
      <c r="E19" s="4"/>
      <c r="F19" s="4"/>
      <c r="G19" s="4"/>
      <c r="H19" s="5">
        <f t="shared" ref="H19:H27" si="2">B19-E19+C19</f>
        <v>200</v>
      </c>
    </row>
    <row r="20" spans="1:8" x14ac:dyDescent="0.25">
      <c r="A20" s="3" t="s">
        <v>62</v>
      </c>
      <c r="B20" s="5"/>
      <c r="C20" s="5">
        <v>1000</v>
      </c>
      <c r="D20" s="5" t="s">
        <v>18</v>
      </c>
      <c r="E20" s="4"/>
      <c r="F20" s="4"/>
      <c r="G20" s="4"/>
      <c r="H20" s="5">
        <f t="shared" si="2"/>
        <v>1000</v>
      </c>
    </row>
    <row r="21" spans="1:8" x14ac:dyDescent="0.25">
      <c r="A21" s="3" t="s">
        <v>63</v>
      </c>
      <c r="B21" s="5"/>
      <c r="C21" s="5">
        <v>2600</v>
      </c>
      <c r="D21" s="5" t="s">
        <v>18</v>
      </c>
      <c r="E21" s="4"/>
      <c r="F21" s="4"/>
      <c r="G21" s="4"/>
      <c r="H21" s="5">
        <f t="shared" si="2"/>
        <v>2600</v>
      </c>
    </row>
    <row r="22" spans="1:8" x14ac:dyDescent="0.25">
      <c r="A22" s="3" t="s">
        <v>64</v>
      </c>
      <c r="B22" s="5"/>
      <c r="C22" s="5">
        <v>1400</v>
      </c>
      <c r="D22" s="5" t="s">
        <v>18</v>
      </c>
      <c r="E22" s="4"/>
      <c r="F22" s="4"/>
      <c r="G22" s="4"/>
      <c r="H22" s="5">
        <f t="shared" si="2"/>
        <v>1400</v>
      </c>
    </row>
    <row r="23" spans="1:8" x14ac:dyDescent="0.25">
      <c r="A23" s="3" t="s">
        <v>65</v>
      </c>
      <c r="B23" s="5"/>
      <c r="C23" s="5">
        <v>200</v>
      </c>
      <c r="D23" s="5" t="s">
        <v>18</v>
      </c>
      <c r="E23" s="4"/>
      <c r="F23" s="4"/>
      <c r="G23" s="4"/>
      <c r="H23" s="5">
        <f t="shared" si="2"/>
        <v>200</v>
      </c>
    </row>
    <row r="24" spans="1:8" x14ac:dyDescent="0.25">
      <c r="A24" s="3" t="s">
        <v>66</v>
      </c>
      <c r="B24" s="5"/>
      <c r="C24" s="5">
        <v>200</v>
      </c>
      <c r="D24" s="5" t="s">
        <v>18</v>
      </c>
      <c r="E24" s="4"/>
      <c r="F24" s="4"/>
      <c r="G24" s="4"/>
      <c r="H24" s="5">
        <f t="shared" si="2"/>
        <v>200</v>
      </c>
    </row>
    <row r="25" spans="1:8" x14ac:dyDescent="0.25">
      <c r="A25" s="3" t="s">
        <v>67</v>
      </c>
      <c r="B25" s="5"/>
      <c r="C25" s="5">
        <v>1200</v>
      </c>
      <c r="D25" s="5" t="s">
        <v>18</v>
      </c>
      <c r="E25" s="4"/>
      <c r="F25" s="4"/>
      <c r="G25" s="4"/>
      <c r="H25" s="5">
        <f t="shared" si="2"/>
        <v>1200</v>
      </c>
    </row>
    <row r="26" spans="1:8" x14ac:dyDescent="0.25">
      <c r="A26" s="3" t="s">
        <v>68</v>
      </c>
      <c r="B26" s="5"/>
      <c r="C26" s="5">
        <v>200</v>
      </c>
      <c r="D26" s="5" t="s">
        <v>18</v>
      </c>
      <c r="E26" s="4"/>
      <c r="F26" s="4"/>
      <c r="G26" s="4"/>
      <c r="H26" s="5">
        <f t="shared" si="2"/>
        <v>200</v>
      </c>
    </row>
    <row r="27" spans="1:8" x14ac:dyDescent="0.25">
      <c r="A27" s="3" t="s">
        <v>69</v>
      </c>
      <c r="B27" s="5"/>
      <c r="C27" s="5">
        <v>1000</v>
      </c>
      <c r="D27" s="5" t="s">
        <v>18</v>
      </c>
      <c r="E27" s="4"/>
      <c r="F27" s="4"/>
      <c r="G27" s="4"/>
      <c r="H27" s="5">
        <f t="shared" si="2"/>
        <v>1000</v>
      </c>
    </row>
    <row r="28" spans="1:8" x14ac:dyDescent="0.25">
      <c r="A28" s="3" t="s">
        <v>70</v>
      </c>
      <c r="B28" s="5"/>
      <c r="C28" s="5">
        <v>14400</v>
      </c>
      <c r="D28" s="5" t="s">
        <v>18</v>
      </c>
      <c r="E28" s="4"/>
      <c r="F28" s="4"/>
      <c r="G28" s="4"/>
      <c r="H28" s="5">
        <f>B28-E28+C28</f>
        <v>14400</v>
      </c>
    </row>
    <row r="29" spans="1:8" x14ac:dyDescent="0.25">
      <c r="A29" s="3" t="s">
        <v>27</v>
      </c>
      <c r="B29" s="5">
        <v>120</v>
      </c>
      <c r="C29" s="5"/>
      <c r="D29" s="5" t="s">
        <v>18</v>
      </c>
      <c r="E29" s="4"/>
      <c r="F29" s="4"/>
      <c r="G29" s="4"/>
      <c r="H29" s="5">
        <f t="shared" ref="H29:H66" si="3">B29-E29+C29</f>
        <v>120</v>
      </c>
    </row>
    <row r="30" spans="1:8" x14ac:dyDescent="0.25">
      <c r="A30" s="3" t="s">
        <v>28</v>
      </c>
      <c r="B30" s="5">
        <v>100</v>
      </c>
      <c r="C30" s="5"/>
      <c r="D30" s="5" t="s">
        <v>18</v>
      </c>
      <c r="E30" s="4"/>
      <c r="F30" s="4"/>
      <c r="G30" s="4"/>
      <c r="H30" s="5">
        <f t="shared" si="3"/>
        <v>100</v>
      </c>
    </row>
    <row r="31" spans="1:8" x14ac:dyDescent="0.25">
      <c r="A31" s="3" t="s">
        <v>29</v>
      </c>
      <c r="B31" s="5">
        <v>60</v>
      </c>
      <c r="C31" s="5"/>
      <c r="D31" s="5" t="s">
        <v>18</v>
      </c>
      <c r="E31" s="4"/>
      <c r="F31" s="4"/>
      <c r="G31" s="4"/>
      <c r="H31" s="5">
        <f t="shared" si="3"/>
        <v>60</v>
      </c>
    </row>
    <row r="32" spans="1:8" x14ac:dyDescent="0.25">
      <c r="A32" s="3" t="s">
        <v>30</v>
      </c>
      <c r="B32" s="5">
        <v>80</v>
      </c>
      <c r="C32" s="5"/>
      <c r="D32" s="5" t="s">
        <v>18</v>
      </c>
      <c r="E32" s="4"/>
      <c r="F32" s="4"/>
      <c r="G32" s="4"/>
      <c r="H32" s="5">
        <f t="shared" si="3"/>
        <v>80</v>
      </c>
    </row>
    <row r="33" spans="1:8" x14ac:dyDescent="0.25">
      <c r="A33" s="3" t="s">
        <v>31</v>
      </c>
      <c r="B33" s="5">
        <v>20</v>
      </c>
      <c r="C33" s="5"/>
      <c r="D33" s="5" t="s">
        <v>18</v>
      </c>
      <c r="E33" s="4"/>
      <c r="F33" s="4"/>
      <c r="G33" s="4"/>
      <c r="H33" s="5">
        <f t="shared" si="3"/>
        <v>20</v>
      </c>
    </row>
    <row r="34" spans="1:8" x14ac:dyDescent="0.25">
      <c r="A34" s="3" t="s">
        <v>32</v>
      </c>
      <c r="B34" s="5">
        <v>40</v>
      </c>
      <c r="C34" s="5"/>
      <c r="D34" s="5" t="s">
        <v>18</v>
      </c>
      <c r="E34" s="4"/>
      <c r="F34" s="4"/>
      <c r="G34" s="4"/>
      <c r="H34" s="5">
        <f t="shared" si="3"/>
        <v>40</v>
      </c>
    </row>
    <row r="35" spans="1:8" x14ac:dyDescent="0.25">
      <c r="A35" s="3" t="s">
        <v>33</v>
      </c>
      <c r="B35" s="5">
        <v>60</v>
      </c>
      <c r="C35" s="5"/>
      <c r="D35" s="5" t="s">
        <v>18</v>
      </c>
      <c r="E35" s="4"/>
      <c r="F35" s="4"/>
      <c r="G35" s="4"/>
      <c r="H35" s="5">
        <f t="shared" si="3"/>
        <v>60</v>
      </c>
    </row>
    <row r="36" spans="1:8" x14ac:dyDescent="0.25">
      <c r="A36" s="3" t="s">
        <v>34</v>
      </c>
      <c r="B36" s="5">
        <v>60</v>
      </c>
      <c r="C36" s="5"/>
      <c r="D36" s="5" t="s">
        <v>18</v>
      </c>
      <c r="E36" s="4"/>
      <c r="F36" s="4"/>
      <c r="G36" s="4"/>
      <c r="H36" s="5">
        <f t="shared" si="3"/>
        <v>60</v>
      </c>
    </row>
    <row r="37" spans="1:8" x14ac:dyDescent="0.25">
      <c r="A37" s="3" t="s">
        <v>35</v>
      </c>
      <c r="B37" s="5">
        <v>100</v>
      </c>
      <c r="C37" s="5"/>
      <c r="D37" s="5" t="s">
        <v>18</v>
      </c>
      <c r="E37" s="4"/>
      <c r="F37" s="4"/>
      <c r="G37" s="4"/>
      <c r="H37" s="5">
        <f t="shared" si="3"/>
        <v>100</v>
      </c>
    </row>
    <row r="38" spans="1:8" x14ac:dyDescent="0.25">
      <c r="A38" s="3" t="s">
        <v>36</v>
      </c>
      <c r="B38" s="5">
        <v>20</v>
      </c>
      <c r="C38" s="5"/>
      <c r="D38" s="5" t="s">
        <v>18</v>
      </c>
      <c r="E38" s="4"/>
      <c r="F38" s="4"/>
      <c r="G38" s="4"/>
      <c r="H38" s="5">
        <f t="shared" si="3"/>
        <v>20</v>
      </c>
    </row>
    <row r="39" spans="1:8" x14ac:dyDescent="0.25">
      <c r="A39" s="3" t="s">
        <v>37</v>
      </c>
      <c r="B39" s="5">
        <v>20</v>
      </c>
      <c r="C39" s="5"/>
      <c r="D39" s="5" t="s">
        <v>18</v>
      </c>
      <c r="E39" s="4"/>
      <c r="F39" s="4"/>
      <c r="G39" s="4"/>
      <c r="H39" s="5">
        <f t="shared" si="3"/>
        <v>20</v>
      </c>
    </row>
    <row r="40" spans="1:8" x14ac:dyDescent="0.25">
      <c r="A40" s="3" t="s">
        <v>38</v>
      </c>
      <c r="B40" s="5">
        <v>40</v>
      </c>
      <c r="C40" s="5"/>
      <c r="D40" s="5" t="s">
        <v>18</v>
      </c>
      <c r="E40" s="4"/>
      <c r="F40" s="4"/>
      <c r="G40" s="4"/>
      <c r="H40" s="5">
        <f t="shared" si="3"/>
        <v>40</v>
      </c>
    </row>
    <row r="41" spans="1:8" x14ac:dyDescent="0.25">
      <c r="A41" s="3" t="s">
        <v>39</v>
      </c>
      <c r="B41" s="5">
        <v>100</v>
      </c>
      <c r="C41" s="5"/>
      <c r="D41" s="5" t="s">
        <v>18</v>
      </c>
      <c r="E41" s="4"/>
      <c r="F41" s="4"/>
      <c r="G41" s="4"/>
      <c r="H41" s="5">
        <f t="shared" si="3"/>
        <v>100</v>
      </c>
    </row>
    <row r="42" spans="1:8" x14ac:dyDescent="0.25">
      <c r="A42" s="3" t="s">
        <v>40</v>
      </c>
      <c r="B42" s="5">
        <v>40</v>
      </c>
      <c r="C42" s="5"/>
      <c r="D42" s="5" t="s">
        <v>18</v>
      </c>
      <c r="E42" s="4"/>
      <c r="F42" s="4"/>
      <c r="G42" s="4"/>
      <c r="H42" s="5">
        <f t="shared" si="3"/>
        <v>40</v>
      </c>
    </row>
    <row r="43" spans="1:8" x14ac:dyDescent="0.25">
      <c r="A43" s="3" t="s">
        <v>41</v>
      </c>
      <c r="B43" s="5">
        <v>20</v>
      </c>
      <c r="C43" s="5"/>
      <c r="D43" s="5" t="s">
        <v>18</v>
      </c>
      <c r="E43" s="4"/>
      <c r="F43" s="4"/>
      <c r="G43" s="4"/>
      <c r="H43" s="5">
        <f t="shared" si="3"/>
        <v>20</v>
      </c>
    </row>
    <row r="44" spans="1:8" x14ac:dyDescent="0.25">
      <c r="A44" s="3" t="s">
        <v>42</v>
      </c>
      <c r="B44" s="5">
        <v>60</v>
      </c>
      <c r="C44" s="5"/>
      <c r="D44" s="5" t="s">
        <v>18</v>
      </c>
      <c r="E44" s="4"/>
      <c r="F44" s="4"/>
      <c r="G44" s="4"/>
      <c r="H44" s="5">
        <f t="shared" si="3"/>
        <v>60</v>
      </c>
    </row>
    <row r="45" spans="1:8" x14ac:dyDescent="0.25">
      <c r="A45" s="3" t="s">
        <v>43</v>
      </c>
      <c r="B45" s="5">
        <v>80</v>
      </c>
      <c r="C45" s="5"/>
      <c r="D45" s="5" t="s">
        <v>18</v>
      </c>
      <c r="E45" s="4"/>
      <c r="F45" s="4"/>
      <c r="G45" s="4"/>
      <c r="H45" s="5">
        <f t="shared" si="3"/>
        <v>80</v>
      </c>
    </row>
    <row r="46" spans="1:8" x14ac:dyDescent="0.25">
      <c r="A46" s="3" t="s">
        <v>44</v>
      </c>
      <c r="B46" s="5">
        <v>40</v>
      </c>
      <c r="C46" s="5"/>
      <c r="D46" s="5" t="s">
        <v>18</v>
      </c>
      <c r="E46" s="4"/>
      <c r="F46" s="4"/>
      <c r="G46" s="4"/>
      <c r="H46" s="5">
        <f t="shared" si="3"/>
        <v>40</v>
      </c>
    </row>
    <row r="47" spans="1:8" x14ac:dyDescent="0.25">
      <c r="A47" s="3" t="s">
        <v>45</v>
      </c>
      <c r="B47" s="5">
        <v>120</v>
      </c>
      <c r="C47" s="5"/>
      <c r="D47" s="5" t="s">
        <v>18</v>
      </c>
      <c r="E47" s="4"/>
      <c r="F47" s="4"/>
      <c r="G47" s="4"/>
      <c r="H47" s="5">
        <f t="shared" si="3"/>
        <v>120</v>
      </c>
    </row>
    <row r="48" spans="1:8" x14ac:dyDescent="0.25">
      <c r="A48" s="3" t="s">
        <v>46</v>
      </c>
      <c r="B48" s="5">
        <v>60</v>
      </c>
      <c r="C48" s="5"/>
      <c r="D48" s="5" t="s">
        <v>18</v>
      </c>
      <c r="E48" s="4"/>
      <c r="F48" s="4"/>
      <c r="G48" s="4"/>
      <c r="H48" s="5">
        <f t="shared" si="3"/>
        <v>60</v>
      </c>
    </row>
    <row r="49" spans="1:8" x14ac:dyDescent="0.25">
      <c r="A49" s="3" t="s">
        <v>47</v>
      </c>
      <c r="B49" s="5">
        <v>100</v>
      </c>
      <c r="C49" s="5"/>
      <c r="D49" s="5" t="s">
        <v>18</v>
      </c>
      <c r="E49" s="4"/>
      <c r="F49" s="4"/>
      <c r="G49" s="4"/>
      <c r="H49" s="5">
        <f t="shared" si="3"/>
        <v>100</v>
      </c>
    </row>
    <row r="50" spans="1:8" x14ac:dyDescent="0.25">
      <c r="A50" s="3" t="s">
        <v>48</v>
      </c>
      <c r="B50" s="5">
        <v>80</v>
      </c>
      <c r="C50" s="5"/>
      <c r="D50" s="5" t="s">
        <v>18</v>
      </c>
      <c r="E50" s="4"/>
      <c r="F50" s="4"/>
      <c r="G50" s="4"/>
      <c r="H50" s="5">
        <f t="shared" si="3"/>
        <v>80</v>
      </c>
    </row>
    <row r="51" spans="1:8" x14ac:dyDescent="0.25">
      <c r="A51" s="3" t="s">
        <v>49</v>
      </c>
      <c r="B51" s="5">
        <v>180</v>
      </c>
      <c r="C51" s="5"/>
      <c r="D51" s="5" t="s">
        <v>18</v>
      </c>
      <c r="E51" s="4"/>
      <c r="F51" s="4"/>
      <c r="G51" s="4"/>
      <c r="H51" s="5">
        <f t="shared" si="3"/>
        <v>180</v>
      </c>
    </row>
    <row r="52" spans="1:8" x14ac:dyDescent="0.25">
      <c r="A52" s="3" t="s">
        <v>50</v>
      </c>
      <c r="B52" s="5">
        <v>80</v>
      </c>
      <c r="C52" s="5"/>
      <c r="D52" s="5" t="s">
        <v>18</v>
      </c>
      <c r="E52" s="4"/>
      <c r="F52" s="4"/>
      <c r="G52" s="4"/>
      <c r="H52" s="5">
        <f t="shared" si="3"/>
        <v>80</v>
      </c>
    </row>
    <row r="53" spans="1:8" x14ac:dyDescent="0.25">
      <c r="A53" s="3" t="s">
        <v>51</v>
      </c>
      <c r="B53" s="5">
        <v>20</v>
      </c>
      <c r="C53" s="5"/>
      <c r="D53" s="5" t="s">
        <v>18</v>
      </c>
      <c r="E53" s="4"/>
      <c r="F53" s="4"/>
      <c r="G53" s="4"/>
      <c r="H53" s="5">
        <f t="shared" si="3"/>
        <v>20</v>
      </c>
    </row>
    <row r="54" spans="1:8" x14ac:dyDescent="0.25">
      <c r="A54" s="3" t="s">
        <v>52</v>
      </c>
      <c r="B54" s="5">
        <v>100</v>
      </c>
      <c r="C54" s="5"/>
      <c r="D54" s="5" t="s">
        <v>18</v>
      </c>
      <c r="E54" s="4"/>
      <c r="F54" s="4"/>
      <c r="G54" s="4"/>
      <c r="H54" s="5">
        <f t="shared" si="3"/>
        <v>100</v>
      </c>
    </row>
    <row r="55" spans="1:8" x14ac:dyDescent="0.25">
      <c r="A55" s="3" t="s">
        <v>53</v>
      </c>
      <c r="B55" s="5">
        <v>40</v>
      </c>
      <c r="C55" s="5"/>
      <c r="D55" s="5" t="s">
        <v>18</v>
      </c>
      <c r="E55" s="4"/>
      <c r="F55" s="4"/>
      <c r="G55" s="4"/>
      <c r="H55" s="5">
        <f t="shared" si="3"/>
        <v>40</v>
      </c>
    </row>
    <row r="56" spans="1:8" x14ac:dyDescent="0.25">
      <c r="A56" s="3" t="s">
        <v>54</v>
      </c>
      <c r="B56" s="5">
        <v>60</v>
      </c>
      <c r="C56" s="5"/>
      <c r="D56" s="5" t="s">
        <v>18</v>
      </c>
      <c r="E56" s="4"/>
      <c r="F56" s="4"/>
      <c r="G56" s="4"/>
      <c r="H56" s="5">
        <f t="shared" si="3"/>
        <v>60</v>
      </c>
    </row>
    <row r="57" spans="1:8" x14ac:dyDescent="0.25">
      <c r="A57" s="3" t="s">
        <v>55</v>
      </c>
      <c r="B57" s="5">
        <v>60</v>
      </c>
      <c r="C57" s="5"/>
      <c r="D57" s="5" t="s">
        <v>18</v>
      </c>
      <c r="E57" s="4"/>
      <c r="F57" s="4"/>
      <c r="G57" s="4"/>
      <c r="H57" s="5">
        <f t="shared" si="3"/>
        <v>60</v>
      </c>
    </row>
    <row r="58" spans="1:8" x14ac:dyDescent="0.25">
      <c r="A58" s="3" t="s">
        <v>56</v>
      </c>
      <c r="B58" s="5">
        <v>20</v>
      </c>
      <c r="C58" s="5"/>
      <c r="D58" s="5" t="s">
        <v>18</v>
      </c>
      <c r="E58" s="4"/>
      <c r="F58" s="4"/>
      <c r="G58" s="4"/>
      <c r="H58" s="5">
        <f t="shared" si="3"/>
        <v>20</v>
      </c>
    </row>
    <row r="59" spans="1:8" x14ac:dyDescent="0.25">
      <c r="A59" s="3" t="s">
        <v>57</v>
      </c>
      <c r="B59" s="5">
        <v>100</v>
      </c>
      <c r="C59" s="5"/>
      <c r="D59" s="5" t="s">
        <v>18</v>
      </c>
      <c r="E59" s="4"/>
      <c r="F59" s="4"/>
      <c r="G59" s="4"/>
      <c r="H59" s="5">
        <f t="shared" si="3"/>
        <v>100</v>
      </c>
    </row>
    <row r="60" spans="1:8" x14ac:dyDescent="0.25">
      <c r="A60" s="3" t="s">
        <v>58</v>
      </c>
      <c r="B60" s="5">
        <v>20</v>
      </c>
      <c r="C60" s="5"/>
      <c r="D60" s="5" t="s">
        <v>18</v>
      </c>
      <c r="E60" s="4"/>
      <c r="F60" s="4"/>
      <c r="G60" s="4"/>
      <c r="H60" s="5">
        <f t="shared" si="3"/>
        <v>20</v>
      </c>
    </row>
    <row r="61" spans="1:8" x14ac:dyDescent="0.25">
      <c r="A61" s="3" t="s">
        <v>59</v>
      </c>
      <c r="B61" s="5">
        <v>40</v>
      </c>
      <c r="C61" s="5"/>
      <c r="D61" s="5" t="s">
        <v>18</v>
      </c>
      <c r="E61" s="4"/>
      <c r="F61" s="4"/>
      <c r="G61" s="4"/>
      <c r="H61" s="5">
        <f t="shared" si="3"/>
        <v>40</v>
      </c>
    </row>
    <row r="62" spans="1:8" x14ac:dyDescent="0.25">
      <c r="A62" s="3"/>
      <c r="B62" s="5"/>
      <c r="C62" s="5"/>
      <c r="D62" s="5" t="s">
        <v>18</v>
      </c>
      <c r="E62" s="4"/>
      <c r="F62" s="4"/>
      <c r="G62" s="4"/>
      <c r="H62" s="5"/>
    </row>
    <row r="63" spans="1:8" x14ac:dyDescent="0.25">
      <c r="A63" s="3"/>
      <c r="B63" s="5"/>
      <c r="C63" s="5"/>
      <c r="D63" s="5" t="s">
        <v>18</v>
      </c>
      <c r="E63" s="4"/>
      <c r="F63" s="4"/>
      <c r="G63" s="4"/>
      <c r="H63" s="5"/>
    </row>
    <row r="64" spans="1:8" x14ac:dyDescent="0.25">
      <c r="A64" s="3"/>
      <c r="B64" s="5"/>
      <c r="C64" s="5"/>
      <c r="D64" s="5" t="s">
        <v>18</v>
      </c>
      <c r="E64" s="4"/>
      <c r="F64" s="4"/>
      <c r="G64" s="4"/>
      <c r="H64" s="5"/>
    </row>
    <row r="65" spans="1:8" x14ac:dyDescent="0.25">
      <c r="A65" s="3"/>
      <c r="B65" s="5"/>
      <c r="C65" s="5"/>
      <c r="D65" s="5" t="s">
        <v>18</v>
      </c>
      <c r="E65" s="4"/>
      <c r="F65" s="4"/>
      <c r="G65" s="4"/>
      <c r="H65" s="5">
        <f t="shared" si="3"/>
        <v>0</v>
      </c>
    </row>
    <row r="66" spans="1:8" x14ac:dyDescent="0.25">
      <c r="A66" s="3"/>
      <c r="B66" s="5"/>
      <c r="C66" s="5"/>
      <c r="D66" s="5" t="s">
        <v>18</v>
      </c>
      <c r="E66" s="4"/>
      <c r="F66" s="4"/>
      <c r="G66" s="4"/>
      <c r="H66" s="5">
        <f t="shared" si="3"/>
        <v>0</v>
      </c>
    </row>
    <row r="67" spans="1:8" ht="18.75" x14ac:dyDescent="0.3">
      <c r="A67" s="7" t="s">
        <v>2</v>
      </c>
      <c r="B67" s="7"/>
      <c r="C67" s="7"/>
      <c r="D67" s="7"/>
      <c r="E67" s="8">
        <f>SUM(E4:E65)</f>
        <v>1559</v>
      </c>
      <c r="F67" s="8"/>
      <c r="G67" s="8"/>
      <c r="H67" s="8"/>
    </row>
  </sheetData>
  <mergeCells count="2">
    <mergeCell ref="A2:A3"/>
    <mergeCell ref="B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8"/>
  <sheetViews>
    <sheetView workbookViewId="0">
      <selection activeCell="E29" sqref="E29:E67"/>
    </sheetView>
  </sheetViews>
  <sheetFormatPr baseColWidth="10" defaultRowHeight="15" x14ac:dyDescent="0.25"/>
  <cols>
    <col min="1" max="1" width="18.5703125" customWidth="1"/>
  </cols>
  <sheetData>
    <row r="2" spans="1:8" ht="15.75" x14ac:dyDescent="0.25">
      <c r="A2" s="27" t="s">
        <v>1</v>
      </c>
      <c r="B2" s="31">
        <v>45955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+'2310'!H4</f>
        <v>53</v>
      </c>
      <c r="C4" s="5"/>
      <c r="D4" s="5" t="s">
        <v>21</v>
      </c>
      <c r="E4" s="14"/>
      <c r="F4" s="4">
        <v>230.62</v>
      </c>
      <c r="G4" s="4">
        <f>E4*F4</f>
        <v>0</v>
      </c>
      <c r="H4" s="5">
        <f>B4-E4</f>
        <v>53</v>
      </c>
    </row>
    <row r="5" spans="1:8" x14ac:dyDescent="0.25">
      <c r="A5" s="12" t="s">
        <v>6</v>
      </c>
      <c r="B5" s="5">
        <f>+'2310'!H5</f>
        <v>75</v>
      </c>
      <c r="C5" s="5"/>
      <c r="D5" s="5" t="s">
        <v>21</v>
      </c>
      <c r="E5" s="14">
        <v>3</v>
      </c>
      <c r="F5" s="4">
        <v>91.2</v>
      </c>
      <c r="G5" s="4">
        <f t="shared" ref="G5:G67" si="0">E5*F5</f>
        <v>273.60000000000002</v>
      </c>
      <c r="H5" s="5">
        <f t="shared" ref="H5:H67" si="1">B5-E5</f>
        <v>72</v>
      </c>
    </row>
    <row r="6" spans="1:8" x14ac:dyDescent="0.25">
      <c r="A6" s="12" t="s">
        <v>7</v>
      </c>
      <c r="B6" s="5">
        <f>+'2310'!H6</f>
        <v>222</v>
      </c>
      <c r="C6" s="5"/>
      <c r="D6" s="5" t="s">
        <v>21</v>
      </c>
      <c r="E6" s="14"/>
      <c r="F6" s="4">
        <v>3500</v>
      </c>
      <c r="G6" s="4">
        <f t="shared" si="0"/>
        <v>0</v>
      </c>
      <c r="H6" s="5">
        <f t="shared" si="1"/>
        <v>222</v>
      </c>
    </row>
    <row r="7" spans="1:8" x14ac:dyDescent="0.25">
      <c r="A7" s="12" t="s">
        <v>8</v>
      </c>
      <c r="B7" s="5">
        <f>+'2310'!H7</f>
        <v>16</v>
      </c>
      <c r="C7" s="5"/>
      <c r="D7" s="5" t="s">
        <v>21</v>
      </c>
      <c r="E7" s="14"/>
      <c r="F7" s="4">
        <v>3300</v>
      </c>
      <c r="G7" s="4">
        <f t="shared" si="0"/>
        <v>0</v>
      </c>
      <c r="H7" s="5">
        <f t="shared" si="1"/>
        <v>16</v>
      </c>
    </row>
    <row r="8" spans="1:8" x14ac:dyDescent="0.25">
      <c r="A8" s="12" t="s">
        <v>9</v>
      </c>
      <c r="B8" s="5">
        <f>+'2310'!H8</f>
        <v>49</v>
      </c>
      <c r="C8" s="5"/>
      <c r="D8" s="5" t="s">
        <v>21</v>
      </c>
      <c r="E8" s="14"/>
      <c r="F8" s="4">
        <v>1554.62</v>
      </c>
      <c r="G8" s="4">
        <f t="shared" si="0"/>
        <v>0</v>
      </c>
      <c r="H8" s="5">
        <f t="shared" si="1"/>
        <v>49</v>
      </c>
    </row>
    <row r="9" spans="1:8" x14ac:dyDescent="0.25">
      <c r="A9" s="12" t="s">
        <v>10</v>
      </c>
      <c r="B9" s="5">
        <f>+'2310'!H9</f>
        <v>2428</v>
      </c>
      <c r="C9" s="5"/>
      <c r="D9" s="5" t="s">
        <v>18</v>
      </c>
      <c r="E9" s="14">
        <v>32</v>
      </c>
      <c r="F9" s="4">
        <v>210</v>
      </c>
      <c r="G9" s="4">
        <f t="shared" si="0"/>
        <v>6720</v>
      </c>
      <c r="H9" s="5">
        <f t="shared" si="1"/>
        <v>2396</v>
      </c>
    </row>
    <row r="10" spans="1:8" x14ac:dyDescent="0.25">
      <c r="A10" s="12" t="s">
        <v>23</v>
      </c>
      <c r="B10" s="5">
        <f>+'2310'!H10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+'2310'!H11</f>
        <v>1230</v>
      </c>
      <c r="C11" s="5"/>
      <c r="D11" s="5" t="s">
        <v>18</v>
      </c>
      <c r="E11" s="14"/>
      <c r="F11" s="4">
        <v>290</v>
      </c>
      <c r="G11" s="4">
        <f t="shared" si="0"/>
        <v>0</v>
      </c>
      <c r="H11" s="5">
        <f t="shared" si="1"/>
        <v>1230</v>
      </c>
    </row>
    <row r="12" spans="1:8" x14ac:dyDescent="0.25">
      <c r="A12" s="12" t="s">
        <v>12</v>
      </c>
      <c r="B12" s="5">
        <f>+'2310'!H12</f>
        <v>2875</v>
      </c>
      <c r="C12" s="5"/>
      <c r="D12" s="5" t="s">
        <v>18</v>
      </c>
      <c r="E12" s="14"/>
      <c r="F12" s="4">
        <v>49.5</v>
      </c>
      <c r="G12" s="4">
        <f t="shared" si="0"/>
        <v>0</v>
      </c>
      <c r="H12" s="5">
        <f t="shared" si="1"/>
        <v>2875</v>
      </c>
    </row>
    <row r="13" spans="1:8" x14ac:dyDescent="0.25">
      <c r="A13" s="12" t="s">
        <v>13</v>
      </c>
      <c r="B13" s="5">
        <f>+'2310'!H13</f>
        <v>400</v>
      </c>
      <c r="C13" s="5"/>
      <c r="D13" s="5" t="s">
        <v>18</v>
      </c>
      <c r="E13" s="14"/>
      <c r="F13" s="4">
        <v>285</v>
      </c>
      <c r="G13" s="4">
        <f t="shared" si="0"/>
        <v>0</v>
      </c>
      <c r="H13" s="5">
        <f t="shared" si="1"/>
        <v>400</v>
      </c>
    </row>
    <row r="14" spans="1:8" x14ac:dyDescent="0.25">
      <c r="A14" s="12" t="s">
        <v>14</v>
      </c>
      <c r="B14" s="5">
        <f>+'2310'!H14</f>
        <v>38450</v>
      </c>
      <c r="C14" s="5">
        <v>25000</v>
      </c>
      <c r="D14" s="5" t="s">
        <v>18</v>
      </c>
      <c r="E14" s="14">
        <f>21*25</f>
        <v>525</v>
      </c>
      <c r="F14" s="4">
        <v>93</v>
      </c>
      <c r="G14" s="4">
        <f t="shared" si="0"/>
        <v>48825</v>
      </c>
      <c r="H14" s="5">
        <f>B14-E14</f>
        <v>37925</v>
      </c>
    </row>
    <row r="15" spans="1:8" x14ac:dyDescent="0.25">
      <c r="A15" s="12" t="s">
        <v>15</v>
      </c>
      <c r="B15" s="5">
        <f>+'2310'!H15</f>
        <v>2524</v>
      </c>
      <c r="C15" s="5"/>
      <c r="D15" s="5" t="s">
        <v>18</v>
      </c>
      <c r="E15" s="14">
        <v>42</v>
      </c>
      <c r="F15" s="4">
        <v>67.23</v>
      </c>
      <c r="G15" s="4">
        <f t="shared" si="0"/>
        <v>2823.6600000000003</v>
      </c>
      <c r="H15" s="5">
        <f t="shared" si="1"/>
        <v>2482</v>
      </c>
    </row>
    <row r="16" spans="1:8" x14ac:dyDescent="0.25">
      <c r="A16" s="12" t="s">
        <v>16</v>
      </c>
      <c r="B16" s="5">
        <f>+'2310'!H16</f>
        <v>325</v>
      </c>
      <c r="C16" s="5"/>
      <c r="D16" s="5" t="s">
        <v>22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+'2310'!H17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v>1640.1</v>
      </c>
      <c r="C18" s="5">
        <v>400</v>
      </c>
      <c r="D18" s="5" t="s">
        <v>18</v>
      </c>
      <c r="E18" s="13">
        <v>91.7</v>
      </c>
      <c r="F18" s="10">
        <v>877.28</v>
      </c>
      <c r="G18" s="10">
        <f t="shared" si="0"/>
        <v>80446.576000000001</v>
      </c>
      <c r="H18" s="5">
        <f>B18-E18</f>
        <v>1548.3999999999999</v>
      </c>
    </row>
    <row r="19" spans="1:8" x14ac:dyDescent="0.25">
      <c r="A19" s="13" t="s">
        <v>61</v>
      </c>
      <c r="B19" s="5">
        <v>373</v>
      </c>
      <c r="C19" s="5">
        <v>200</v>
      </c>
      <c r="D19" s="5" t="s">
        <v>18</v>
      </c>
      <c r="E19" s="13">
        <v>12.45</v>
      </c>
      <c r="F19" s="10">
        <v>601.1</v>
      </c>
      <c r="G19" s="10">
        <f t="shared" si="0"/>
        <v>7483.6949999999997</v>
      </c>
      <c r="H19" s="5">
        <f t="shared" si="1"/>
        <v>360.55</v>
      </c>
    </row>
    <row r="20" spans="1:8" x14ac:dyDescent="0.25">
      <c r="A20" s="13" t="s">
        <v>62</v>
      </c>
      <c r="B20" s="5">
        <f>+'2310'!H20</f>
        <v>1000</v>
      </c>
      <c r="C20" s="5">
        <v>1000</v>
      </c>
      <c r="D20" s="5" t="s">
        <v>18</v>
      </c>
      <c r="E20" s="13">
        <v>9.5</v>
      </c>
      <c r="F20" s="10">
        <v>568.61</v>
      </c>
      <c r="G20" s="10">
        <f t="shared" si="0"/>
        <v>5401.7950000000001</v>
      </c>
      <c r="H20" s="5">
        <f t="shared" si="1"/>
        <v>990.5</v>
      </c>
    </row>
    <row r="21" spans="1:8" x14ac:dyDescent="0.25">
      <c r="A21" s="13" t="s">
        <v>63</v>
      </c>
      <c r="B21" s="5">
        <f>+'2310'!H21</f>
        <v>2600</v>
      </c>
      <c r="C21" s="5">
        <v>2600</v>
      </c>
      <c r="D21" s="5" t="s">
        <v>18</v>
      </c>
      <c r="E21" s="13">
        <v>135.4</v>
      </c>
      <c r="F21" s="10">
        <v>333.04</v>
      </c>
      <c r="G21" s="10">
        <f t="shared" si="0"/>
        <v>45093.616000000002</v>
      </c>
      <c r="H21" s="5">
        <f t="shared" si="1"/>
        <v>2464.6</v>
      </c>
    </row>
    <row r="22" spans="1:8" x14ac:dyDescent="0.25">
      <c r="A22" s="13" t="s">
        <v>64</v>
      </c>
      <c r="B22" s="5">
        <f>+'2310'!H22</f>
        <v>1400</v>
      </c>
      <c r="C22" s="5">
        <v>1400</v>
      </c>
      <c r="D22" s="5" t="s">
        <v>18</v>
      </c>
      <c r="E22" s="13">
        <v>122.75</v>
      </c>
      <c r="F22" s="10">
        <v>714.82</v>
      </c>
      <c r="G22" s="10">
        <f t="shared" si="0"/>
        <v>87744.155000000013</v>
      </c>
      <c r="H22" s="5">
        <f t="shared" si="1"/>
        <v>1277.25</v>
      </c>
    </row>
    <row r="23" spans="1:8" x14ac:dyDescent="0.25">
      <c r="A23" s="13" t="s">
        <v>65</v>
      </c>
      <c r="B23" s="5">
        <v>230</v>
      </c>
      <c r="C23" s="5">
        <v>200</v>
      </c>
      <c r="D23" s="5" t="s">
        <v>18</v>
      </c>
      <c r="E23" s="13"/>
      <c r="F23" s="10">
        <v>487.38</v>
      </c>
      <c r="G23" s="10">
        <f t="shared" si="0"/>
        <v>0</v>
      </c>
      <c r="H23" s="5">
        <f t="shared" si="1"/>
        <v>230</v>
      </c>
    </row>
    <row r="24" spans="1:8" x14ac:dyDescent="0.25">
      <c r="A24" s="13" t="s">
        <v>66</v>
      </c>
      <c r="B24" s="5">
        <v>980.9</v>
      </c>
      <c r="C24" s="5">
        <v>200</v>
      </c>
      <c r="D24" s="5" t="s">
        <v>18</v>
      </c>
      <c r="E24" s="13">
        <v>4.63</v>
      </c>
      <c r="F24" s="10">
        <v>844.79</v>
      </c>
      <c r="G24" s="10">
        <f t="shared" si="0"/>
        <v>3911.3776999999995</v>
      </c>
      <c r="H24" s="5">
        <f t="shared" si="1"/>
        <v>976.27</v>
      </c>
    </row>
    <row r="25" spans="1:8" x14ac:dyDescent="0.25">
      <c r="A25" s="13" t="s">
        <v>67</v>
      </c>
      <c r="B25" s="5">
        <f>+'2310'!H25</f>
        <v>1200</v>
      </c>
      <c r="C25" s="5">
        <v>1200</v>
      </c>
      <c r="D25" s="5" t="s">
        <v>18</v>
      </c>
      <c r="E25" s="13">
        <v>96</v>
      </c>
      <c r="F25" s="10">
        <v>901.65</v>
      </c>
      <c r="G25" s="10">
        <f t="shared" si="0"/>
        <v>86558.399999999994</v>
      </c>
      <c r="H25" s="5">
        <f t="shared" si="1"/>
        <v>1104</v>
      </c>
    </row>
    <row r="26" spans="1:8" x14ac:dyDescent="0.25">
      <c r="A26" s="13" t="s">
        <v>68</v>
      </c>
      <c r="B26" s="5">
        <v>269.88</v>
      </c>
      <c r="C26" s="5">
        <v>200</v>
      </c>
      <c r="D26" s="5" t="s">
        <v>18</v>
      </c>
      <c r="E26" s="13">
        <v>29</v>
      </c>
      <c r="F26" s="10">
        <v>877.28</v>
      </c>
      <c r="G26" s="10">
        <f t="shared" si="0"/>
        <v>25441.119999999999</v>
      </c>
      <c r="H26" s="5">
        <f t="shared" si="1"/>
        <v>240.88</v>
      </c>
    </row>
    <row r="27" spans="1:8" x14ac:dyDescent="0.25">
      <c r="A27" s="13" t="s">
        <v>69</v>
      </c>
      <c r="B27" s="5">
        <v>1130</v>
      </c>
      <c r="C27" s="5">
        <v>1000</v>
      </c>
      <c r="D27" s="5" t="s">
        <v>18</v>
      </c>
      <c r="E27" s="13">
        <v>59.3</v>
      </c>
      <c r="F27" s="10">
        <v>300.55</v>
      </c>
      <c r="G27" s="10">
        <f t="shared" si="0"/>
        <v>17822.615000000002</v>
      </c>
      <c r="H27" s="5">
        <f t="shared" si="1"/>
        <v>1070.7</v>
      </c>
    </row>
    <row r="28" spans="1:8" x14ac:dyDescent="0.25">
      <c r="A28" s="13" t="s">
        <v>70</v>
      </c>
      <c r="B28" s="5">
        <v>15493.88</v>
      </c>
      <c r="C28" s="5">
        <v>14400</v>
      </c>
      <c r="D28" s="5" t="s">
        <v>18</v>
      </c>
      <c r="E28" s="13">
        <v>656.7</v>
      </c>
      <c r="F28" s="10">
        <v>178.7</v>
      </c>
      <c r="G28" s="10">
        <f t="shared" si="0"/>
        <v>117352.29</v>
      </c>
      <c r="H28" s="5">
        <f t="shared" si="1"/>
        <v>14837.179999999998</v>
      </c>
    </row>
    <row r="29" spans="1:8" x14ac:dyDescent="0.25">
      <c r="A29" s="11" t="s">
        <v>27</v>
      </c>
      <c r="B29" s="5">
        <v>410</v>
      </c>
      <c r="C29" s="5"/>
      <c r="D29" s="5" t="s">
        <v>18</v>
      </c>
      <c r="E29" s="14">
        <v>391</v>
      </c>
      <c r="F29" s="4"/>
      <c r="G29" s="4">
        <f t="shared" si="0"/>
        <v>0</v>
      </c>
      <c r="H29" s="5">
        <f t="shared" si="1"/>
        <v>19</v>
      </c>
    </row>
    <row r="30" spans="1:8" x14ac:dyDescent="0.25">
      <c r="A30" s="11" t="s">
        <v>28</v>
      </c>
      <c r="B30" s="5">
        <f>+'2310'!H30</f>
        <v>100</v>
      </c>
      <c r="C30" s="5"/>
      <c r="D30" s="5" t="s">
        <v>18</v>
      </c>
      <c r="E30" s="14">
        <v>100</v>
      </c>
      <c r="F30" s="4"/>
      <c r="G30" s="4">
        <f t="shared" si="0"/>
        <v>0</v>
      </c>
      <c r="H30" s="5">
        <f t="shared" si="1"/>
        <v>0</v>
      </c>
    </row>
    <row r="31" spans="1:8" x14ac:dyDescent="0.25">
      <c r="A31" s="11" t="s">
        <v>73</v>
      </c>
      <c r="B31" s="5">
        <v>100</v>
      </c>
      <c r="C31" s="5"/>
      <c r="D31" s="5" t="s">
        <v>18</v>
      </c>
      <c r="E31" s="14"/>
      <c r="F31" s="4"/>
      <c r="G31" s="4"/>
      <c r="H31" s="5">
        <f t="shared" si="1"/>
        <v>100</v>
      </c>
    </row>
    <row r="32" spans="1:8" x14ac:dyDescent="0.25">
      <c r="A32" s="11" t="s">
        <v>29</v>
      </c>
      <c r="B32" s="5">
        <f>+'2310'!H31</f>
        <v>60</v>
      </c>
      <c r="C32" s="5"/>
      <c r="D32" s="5" t="s">
        <v>18</v>
      </c>
      <c r="E32" s="14"/>
      <c r="F32" s="4"/>
      <c r="G32" s="4">
        <f t="shared" si="0"/>
        <v>0</v>
      </c>
      <c r="H32" s="5">
        <f t="shared" si="1"/>
        <v>60</v>
      </c>
    </row>
    <row r="33" spans="1:8" x14ac:dyDescent="0.25">
      <c r="A33" s="11" t="s">
        <v>30</v>
      </c>
      <c r="B33" s="5">
        <v>300</v>
      </c>
      <c r="C33" s="5"/>
      <c r="D33" s="5" t="s">
        <v>18</v>
      </c>
      <c r="E33" s="14">
        <v>151</v>
      </c>
      <c r="F33" s="4"/>
      <c r="G33" s="4">
        <f t="shared" si="0"/>
        <v>0</v>
      </c>
      <c r="H33" s="5">
        <f t="shared" si="1"/>
        <v>149</v>
      </c>
    </row>
    <row r="34" spans="1:8" x14ac:dyDescent="0.25">
      <c r="A34" s="11" t="s">
        <v>31</v>
      </c>
      <c r="B34" s="5">
        <f>+'2310'!H33</f>
        <v>20</v>
      </c>
      <c r="C34" s="5"/>
      <c r="D34" s="5" t="s">
        <v>18</v>
      </c>
      <c r="E34" s="14"/>
      <c r="F34" s="4"/>
      <c r="G34" s="4">
        <f t="shared" si="0"/>
        <v>0</v>
      </c>
      <c r="H34" s="5">
        <f t="shared" si="1"/>
        <v>20</v>
      </c>
    </row>
    <row r="35" spans="1:8" x14ac:dyDescent="0.25">
      <c r="A35" s="11" t="s">
        <v>32</v>
      </c>
      <c r="B35" s="5">
        <f>+'2310'!H34</f>
        <v>40</v>
      </c>
      <c r="C35" s="5"/>
      <c r="D35" s="5" t="s">
        <v>18</v>
      </c>
      <c r="E35" s="14"/>
      <c r="F35" s="4"/>
      <c r="G35" s="4">
        <f t="shared" si="0"/>
        <v>0</v>
      </c>
      <c r="H35" s="5">
        <f t="shared" si="1"/>
        <v>40</v>
      </c>
    </row>
    <row r="36" spans="1:8" x14ac:dyDescent="0.25">
      <c r="A36" s="11" t="s">
        <v>33</v>
      </c>
      <c r="B36" s="5">
        <f>+'2310'!H35</f>
        <v>60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60</v>
      </c>
    </row>
    <row r="37" spans="1:8" x14ac:dyDescent="0.25">
      <c r="A37" s="11" t="s">
        <v>34</v>
      </c>
      <c r="B37" s="5">
        <f>+'2310'!H36</f>
        <v>60</v>
      </c>
      <c r="C37" s="5"/>
      <c r="D37" s="5" t="s">
        <v>18</v>
      </c>
      <c r="E37" s="14"/>
      <c r="F37" s="4"/>
      <c r="G37" s="4">
        <f t="shared" si="0"/>
        <v>0</v>
      </c>
      <c r="H37" s="5">
        <f t="shared" si="1"/>
        <v>60</v>
      </c>
    </row>
    <row r="38" spans="1:8" x14ac:dyDescent="0.25">
      <c r="A38" s="11" t="s">
        <v>35</v>
      </c>
      <c r="B38" s="5">
        <f>+'2310'!H37</f>
        <v>100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100</v>
      </c>
    </row>
    <row r="39" spans="1:8" x14ac:dyDescent="0.25">
      <c r="A39" s="11" t="s">
        <v>36</v>
      </c>
      <c r="B39" s="5">
        <f>+'2310'!H38</f>
        <v>20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20</v>
      </c>
    </row>
    <row r="40" spans="1:8" x14ac:dyDescent="0.25">
      <c r="A40" s="11" t="s">
        <v>37</v>
      </c>
      <c r="B40" s="5">
        <f>+'2310'!H39</f>
        <v>20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20</v>
      </c>
    </row>
    <row r="41" spans="1:8" x14ac:dyDescent="0.25">
      <c r="A41" s="11" t="s">
        <v>38</v>
      </c>
      <c r="B41" s="5">
        <f>+'2310'!H40</f>
        <v>40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40</v>
      </c>
    </row>
    <row r="42" spans="1:8" x14ac:dyDescent="0.25">
      <c r="A42" s="11" t="s">
        <v>39</v>
      </c>
      <c r="B42" s="5">
        <f>+'2310'!H41</f>
        <v>100</v>
      </c>
      <c r="C42" s="5"/>
      <c r="D42" s="5" t="s">
        <v>18</v>
      </c>
      <c r="E42" s="14"/>
      <c r="F42" s="4"/>
      <c r="G42" s="4">
        <f t="shared" si="0"/>
        <v>0</v>
      </c>
      <c r="H42" s="5">
        <f t="shared" si="1"/>
        <v>100</v>
      </c>
    </row>
    <row r="43" spans="1:8" x14ac:dyDescent="0.25">
      <c r="A43" s="11" t="s">
        <v>40</v>
      </c>
      <c r="B43" s="5">
        <f>+'2310'!H42</f>
        <v>40</v>
      </c>
      <c r="C43" s="5"/>
      <c r="D43" s="5" t="s">
        <v>18</v>
      </c>
      <c r="E43" s="14"/>
      <c r="F43" s="4"/>
      <c r="G43" s="4">
        <f t="shared" si="0"/>
        <v>0</v>
      </c>
      <c r="H43" s="5">
        <f t="shared" si="1"/>
        <v>40</v>
      </c>
    </row>
    <row r="44" spans="1:8" x14ac:dyDescent="0.25">
      <c r="A44" s="11" t="s">
        <v>41</v>
      </c>
      <c r="B44" s="5">
        <f>+'2310'!H43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42</v>
      </c>
      <c r="B45" s="5">
        <v>160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160</v>
      </c>
    </row>
    <row r="46" spans="1:8" x14ac:dyDescent="0.25">
      <c r="A46" s="11" t="s">
        <v>43</v>
      </c>
      <c r="B46" s="5">
        <v>100</v>
      </c>
      <c r="C46" s="5"/>
      <c r="D46" s="5" t="s">
        <v>18</v>
      </c>
      <c r="E46" s="14">
        <v>17</v>
      </c>
      <c r="F46" s="4"/>
      <c r="G46" s="4">
        <f t="shared" si="0"/>
        <v>0</v>
      </c>
      <c r="H46" s="5">
        <f t="shared" si="1"/>
        <v>83</v>
      </c>
    </row>
    <row r="47" spans="1:8" x14ac:dyDescent="0.25">
      <c r="A47" s="11" t="s">
        <v>74</v>
      </c>
      <c r="B47" s="5">
        <v>250</v>
      </c>
      <c r="C47" s="5"/>
      <c r="D47" s="5" t="s">
        <v>18</v>
      </c>
      <c r="E47" s="14">
        <v>150</v>
      </c>
      <c r="F47" s="4"/>
      <c r="G47" s="4">
        <f t="shared" si="0"/>
        <v>0</v>
      </c>
      <c r="H47" s="5">
        <f t="shared" si="1"/>
        <v>100</v>
      </c>
    </row>
    <row r="48" spans="1:8" x14ac:dyDescent="0.25">
      <c r="A48" s="11" t="s">
        <v>44</v>
      </c>
      <c r="B48" s="5">
        <f>+'2310'!H46</f>
        <v>40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40</v>
      </c>
    </row>
    <row r="49" spans="1:8" x14ac:dyDescent="0.25">
      <c r="A49" s="11" t="s">
        <v>45</v>
      </c>
      <c r="B49" s="5">
        <f>+'2310'!H47</f>
        <v>120</v>
      </c>
      <c r="C49" s="5"/>
      <c r="D49" s="5" t="s">
        <v>18</v>
      </c>
      <c r="E49" s="14"/>
      <c r="F49" s="4"/>
      <c r="G49" s="4">
        <f t="shared" si="0"/>
        <v>0</v>
      </c>
      <c r="H49" s="5">
        <f t="shared" si="1"/>
        <v>120</v>
      </c>
    </row>
    <row r="50" spans="1:8" x14ac:dyDescent="0.25">
      <c r="A50" s="11" t="s">
        <v>46</v>
      </c>
      <c r="B50" s="5">
        <f>+'2310'!H48</f>
        <v>60</v>
      </c>
      <c r="C50" s="5"/>
      <c r="D50" s="5" t="s">
        <v>18</v>
      </c>
      <c r="E50" s="14"/>
      <c r="F50" s="4"/>
      <c r="G50" s="4">
        <f t="shared" si="0"/>
        <v>0</v>
      </c>
      <c r="H50" s="5">
        <f t="shared" si="1"/>
        <v>60</v>
      </c>
    </row>
    <row r="51" spans="1:8" x14ac:dyDescent="0.25">
      <c r="A51" s="11" t="s">
        <v>47</v>
      </c>
      <c r="B51" s="5">
        <v>250</v>
      </c>
      <c r="C51" s="5"/>
      <c r="D51" s="5" t="s">
        <v>18</v>
      </c>
      <c r="E51" s="14">
        <v>51</v>
      </c>
      <c r="F51" s="4"/>
      <c r="G51" s="4">
        <f t="shared" si="0"/>
        <v>0</v>
      </c>
      <c r="H51" s="5">
        <f t="shared" si="1"/>
        <v>199</v>
      </c>
    </row>
    <row r="52" spans="1:8" x14ac:dyDescent="0.25">
      <c r="A52" s="11" t="s">
        <v>72</v>
      </c>
      <c r="B52" s="5">
        <v>34</v>
      </c>
      <c r="C52" s="5"/>
      <c r="D52" s="5" t="s">
        <v>18</v>
      </c>
      <c r="E52" s="14"/>
      <c r="F52" s="4"/>
      <c r="G52" s="4">
        <f t="shared" si="0"/>
        <v>0</v>
      </c>
      <c r="H52" s="5">
        <f t="shared" si="1"/>
        <v>34</v>
      </c>
    </row>
    <row r="53" spans="1:8" x14ac:dyDescent="0.25">
      <c r="A53" s="11" t="s">
        <v>48</v>
      </c>
      <c r="B53" s="5">
        <f>+'2310'!H50</f>
        <v>80</v>
      </c>
      <c r="C53" s="5"/>
      <c r="D53" s="5" t="s">
        <v>18</v>
      </c>
      <c r="E53" s="14"/>
      <c r="F53" s="4"/>
      <c r="G53" s="4">
        <f t="shared" si="0"/>
        <v>0</v>
      </c>
      <c r="H53" s="5">
        <f t="shared" si="1"/>
        <v>80</v>
      </c>
    </row>
    <row r="54" spans="1:8" x14ac:dyDescent="0.25">
      <c r="A54" s="11" t="s">
        <v>49</v>
      </c>
      <c r="B54" s="5">
        <f>+'2310'!H51</f>
        <v>180</v>
      </c>
      <c r="C54" s="5"/>
      <c r="D54" s="5" t="s">
        <v>18</v>
      </c>
      <c r="E54" s="14"/>
      <c r="F54" s="4"/>
      <c r="G54" s="4">
        <f t="shared" si="0"/>
        <v>0</v>
      </c>
      <c r="H54" s="5">
        <f t="shared" si="1"/>
        <v>180</v>
      </c>
    </row>
    <row r="55" spans="1:8" x14ac:dyDescent="0.25">
      <c r="A55" s="11" t="s">
        <v>50</v>
      </c>
      <c r="B55" s="5">
        <f>+'2310'!H52</f>
        <v>80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80</v>
      </c>
    </row>
    <row r="56" spans="1:8" x14ac:dyDescent="0.25">
      <c r="A56" s="11" t="s">
        <v>51</v>
      </c>
      <c r="B56" s="5">
        <f>+'2310'!H53</f>
        <v>20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20</v>
      </c>
    </row>
    <row r="57" spans="1:8" x14ac:dyDescent="0.25">
      <c r="A57" s="11" t="s">
        <v>52</v>
      </c>
      <c r="B57" s="5">
        <f>+'2310'!H54</f>
        <v>100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100</v>
      </c>
    </row>
    <row r="58" spans="1:8" x14ac:dyDescent="0.25">
      <c r="A58" s="11" t="s">
        <v>53</v>
      </c>
      <c r="B58" s="5">
        <f>+'2310'!H55</f>
        <v>40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40</v>
      </c>
    </row>
    <row r="59" spans="1:8" x14ac:dyDescent="0.25">
      <c r="A59" s="11" t="s">
        <v>54</v>
      </c>
      <c r="B59" s="5">
        <f>+'2310'!H56</f>
        <v>60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60</v>
      </c>
    </row>
    <row r="60" spans="1:8" x14ac:dyDescent="0.25">
      <c r="A60" s="11" t="s">
        <v>55</v>
      </c>
      <c r="B60" s="5">
        <v>100</v>
      </c>
      <c r="C60" s="5"/>
      <c r="D60" s="5" t="s">
        <v>18</v>
      </c>
      <c r="E60" s="14"/>
      <c r="F60" s="4"/>
      <c r="G60" s="4">
        <f t="shared" si="0"/>
        <v>0</v>
      </c>
      <c r="H60" s="5">
        <f t="shared" si="1"/>
        <v>100</v>
      </c>
    </row>
    <row r="61" spans="1:8" x14ac:dyDescent="0.25">
      <c r="A61" s="11" t="s">
        <v>56</v>
      </c>
      <c r="B61" s="5">
        <f>+'2310'!H58</f>
        <v>20</v>
      </c>
      <c r="C61" s="5"/>
      <c r="D61" s="5" t="s">
        <v>18</v>
      </c>
      <c r="E61" s="14"/>
      <c r="F61" s="4"/>
      <c r="G61" s="4">
        <f t="shared" si="0"/>
        <v>0</v>
      </c>
      <c r="H61" s="5">
        <f t="shared" si="1"/>
        <v>20</v>
      </c>
    </row>
    <row r="62" spans="1:8" x14ac:dyDescent="0.25">
      <c r="A62" s="11" t="s">
        <v>57</v>
      </c>
      <c r="B62" s="5">
        <f>+'2310'!H59</f>
        <v>100</v>
      </c>
      <c r="C62" s="5"/>
      <c r="D62" s="5" t="s">
        <v>18</v>
      </c>
      <c r="E62" s="14">
        <v>20</v>
      </c>
      <c r="F62" s="4"/>
      <c r="G62" s="4">
        <f t="shared" si="0"/>
        <v>0</v>
      </c>
      <c r="H62" s="5">
        <f t="shared" si="1"/>
        <v>80</v>
      </c>
    </row>
    <row r="63" spans="1:8" x14ac:dyDescent="0.25">
      <c r="A63" s="11" t="s">
        <v>58</v>
      </c>
      <c r="B63" s="5">
        <v>250</v>
      </c>
      <c r="C63" s="5"/>
      <c r="D63" s="5" t="s">
        <v>18</v>
      </c>
      <c r="E63" s="14">
        <v>68</v>
      </c>
      <c r="F63" s="4"/>
      <c r="G63" s="4">
        <f t="shared" si="0"/>
        <v>0</v>
      </c>
      <c r="H63" s="5">
        <f t="shared" si="1"/>
        <v>182</v>
      </c>
    </row>
    <row r="64" spans="1:8" x14ac:dyDescent="0.25">
      <c r="A64" s="11" t="s">
        <v>71</v>
      </c>
      <c r="B64" s="5">
        <v>34</v>
      </c>
      <c r="C64" s="5"/>
      <c r="D64" s="5" t="s">
        <v>18</v>
      </c>
      <c r="E64" s="14"/>
      <c r="F64" s="4"/>
      <c r="G64" s="4">
        <f t="shared" si="0"/>
        <v>0</v>
      </c>
      <c r="H64" s="5">
        <f t="shared" si="1"/>
        <v>34</v>
      </c>
    </row>
    <row r="65" spans="1:8" x14ac:dyDescent="0.25">
      <c r="A65" s="11" t="s">
        <v>59</v>
      </c>
      <c r="B65" s="5">
        <f>+'2310'!H61</f>
        <v>40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40</v>
      </c>
    </row>
    <row r="66" spans="1:8" x14ac:dyDescent="0.25">
      <c r="A66" s="11"/>
      <c r="B66" s="5">
        <f>+'2310'!H62</f>
        <v>0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0</v>
      </c>
    </row>
    <row r="67" spans="1:8" x14ac:dyDescent="0.25">
      <c r="A67" s="3"/>
      <c r="B67" s="5">
        <f>+'2310'!H63</f>
        <v>0</v>
      </c>
      <c r="C67" s="5"/>
      <c r="D67" s="5" t="s">
        <v>18</v>
      </c>
      <c r="E67" s="14"/>
      <c r="F67" s="4"/>
      <c r="G67" s="4">
        <f t="shared" si="0"/>
        <v>0</v>
      </c>
      <c r="H67" s="5">
        <f t="shared" si="1"/>
        <v>0</v>
      </c>
    </row>
    <row r="68" spans="1:8" ht="18.75" x14ac:dyDescent="0.3">
      <c r="A68" s="7" t="s">
        <v>2</v>
      </c>
      <c r="B68" s="7"/>
      <c r="C68" s="7"/>
      <c r="D68" s="7"/>
      <c r="E68" s="8">
        <f>SUM(E4:E67)</f>
        <v>2767.4300000000003</v>
      </c>
      <c r="F68" s="8"/>
      <c r="G68" s="8"/>
      <c r="H68" s="8"/>
    </row>
  </sheetData>
  <mergeCells count="2">
    <mergeCell ref="A2:A3"/>
    <mergeCell ref="B2:H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9"/>
  <sheetViews>
    <sheetView topLeftCell="A10" workbookViewId="0">
      <selection activeCell="E47" sqref="E47:E68"/>
    </sheetView>
  </sheetViews>
  <sheetFormatPr baseColWidth="10" defaultRowHeight="15" x14ac:dyDescent="0.25"/>
  <cols>
    <col min="1" max="1" width="17" customWidth="1"/>
  </cols>
  <sheetData>
    <row r="2" spans="1:8" ht="15.75" x14ac:dyDescent="0.25">
      <c r="A2" s="27" t="s">
        <v>1</v>
      </c>
      <c r="B2" s="31">
        <v>45957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+'2510'!H4</f>
        <v>53</v>
      </c>
      <c r="C4" s="5"/>
      <c r="D4" s="5" t="s">
        <v>21</v>
      </c>
      <c r="E4" s="14">
        <v>6</v>
      </c>
      <c r="F4" s="4">
        <v>230.62</v>
      </c>
      <c r="G4" s="4">
        <f>E4*F4</f>
        <v>1383.72</v>
      </c>
      <c r="H4" s="5">
        <f>B4-E4</f>
        <v>47</v>
      </c>
    </row>
    <row r="5" spans="1:8" x14ac:dyDescent="0.25">
      <c r="A5" s="12" t="s">
        <v>6</v>
      </c>
      <c r="B5" s="5">
        <f>+'2510'!H5</f>
        <v>72</v>
      </c>
      <c r="C5" s="5"/>
      <c r="D5" s="5" t="s">
        <v>21</v>
      </c>
      <c r="E5" s="14">
        <v>3</v>
      </c>
      <c r="F5" s="4">
        <v>91.2</v>
      </c>
      <c r="G5" s="4">
        <f t="shared" ref="G5:G68" si="0">E5*F5</f>
        <v>273.60000000000002</v>
      </c>
      <c r="H5" s="5">
        <f t="shared" ref="H5:H68" si="1">B5-E5</f>
        <v>69</v>
      </c>
    </row>
    <row r="6" spans="1:8" x14ac:dyDescent="0.25">
      <c r="A6" s="12" t="s">
        <v>7</v>
      </c>
      <c r="B6" s="5">
        <f>+'2510'!H6</f>
        <v>222</v>
      </c>
      <c r="C6" s="5"/>
      <c r="D6" s="5" t="s">
        <v>21</v>
      </c>
      <c r="E6" s="14"/>
      <c r="F6" s="4">
        <v>3500</v>
      </c>
      <c r="G6" s="4">
        <f t="shared" si="0"/>
        <v>0</v>
      </c>
      <c r="H6" s="5">
        <f t="shared" si="1"/>
        <v>222</v>
      </c>
    </row>
    <row r="7" spans="1:8" x14ac:dyDescent="0.25">
      <c r="A7" s="12" t="s">
        <v>8</v>
      </c>
      <c r="B7" s="5">
        <f>+'2510'!H7</f>
        <v>16</v>
      </c>
      <c r="C7" s="5"/>
      <c r="D7" s="5" t="s">
        <v>21</v>
      </c>
      <c r="E7" s="14"/>
      <c r="F7" s="4">
        <v>3300</v>
      </c>
      <c r="G7" s="4">
        <f t="shared" si="0"/>
        <v>0</v>
      </c>
      <c r="H7" s="5">
        <f t="shared" si="1"/>
        <v>16</v>
      </c>
    </row>
    <row r="8" spans="1:8" x14ac:dyDescent="0.25">
      <c r="A8" s="12" t="s">
        <v>9</v>
      </c>
      <c r="B8" s="5">
        <f>+'2510'!H8</f>
        <v>49</v>
      </c>
      <c r="C8" s="5"/>
      <c r="D8" s="5" t="s">
        <v>21</v>
      </c>
      <c r="E8" s="14"/>
      <c r="F8" s="4">
        <v>1554.62</v>
      </c>
      <c r="G8" s="4">
        <f t="shared" si="0"/>
        <v>0</v>
      </c>
      <c r="H8" s="5">
        <f t="shared" si="1"/>
        <v>49</v>
      </c>
    </row>
    <row r="9" spans="1:8" x14ac:dyDescent="0.25">
      <c r="A9" s="12" t="s">
        <v>10</v>
      </c>
      <c r="B9" s="5">
        <f>+'2510'!H9</f>
        <v>2396</v>
      </c>
      <c r="C9" s="5"/>
      <c r="D9" s="5" t="s">
        <v>18</v>
      </c>
      <c r="E9" s="14"/>
      <c r="F9" s="4">
        <v>210</v>
      </c>
      <c r="G9" s="4">
        <f t="shared" si="0"/>
        <v>0</v>
      </c>
      <c r="H9" s="5">
        <f t="shared" si="1"/>
        <v>2396</v>
      </c>
    </row>
    <row r="10" spans="1:8" x14ac:dyDescent="0.25">
      <c r="A10" s="12" t="s">
        <v>23</v>
      </c>
      <c r="B10" s="5">
        <f>+'2510'!H10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+'2510'!H11</f>
        <v>1230</v>
      </c>
      <c r="C11" s="5"/>
      <c r="D11" s="5" t="s">
        <v>18</v>
      </c>
      <c r="E11" s="14"/>
      <c r="F11" s="4">
        <v>290</v>
      </c>
      <c r="G11" s="4">
        <f t="shared" si="0"/>
        <v>0</v>
      </c>
      <c r="H11" s="5">
        <f t="shared" si="1"/>
        <v>1230</v>
      </c>
    </row>
    <row r="12" spans="1:8" x14ac:dyDescent="0.25">
      <c r="A12" s="12" t="s">
        <v>12</v>
      </c>
      <c r="B12" s="5">
        <f>+'2510'!H12</f>
        <v>2875</v>
      </c>
      <c r="C12" s="5"/>
      <c r="D12" s="5" t="s">
        <v>18</v>
      </c>
      <c r="E12" s="14">
        <f>2*25</f>
        <v>50</v>
      </c>
      <c r="F12" s="4">
        <v>49.5</v>
      </c>
      <c r="G12" s="4">
        <f t="shared" si="0"/>
        <v>2475</v>
      </c>
      <c r="H12" s="5">
        <f t="shared" si="1"/>
        <v>2825</v>
      </c>
    </row>
    <row r="13" spans="1:8" x14ac:dyDescent="0.25">
      <c r="A13" s="12" t="s">
        <v>13</v>
      </c>
      <c r="B13" s="5">
        <f>+'2510'!H13</f>
        <v>400</v>
      </c>
      <c r="C13" s="5"/>
      <c r="D13" s="5" t="s">
        <v>18</v>
      </c>
      <c r="E13" s="14"/>
      <c r="F13" s="4">
        <v>285</v>
      </c>
      <c r="G13" s="4">
        <f t="shared" si="0"/>
        <v>0</v>
      </c>
      <c r="H13" s="5">
        <f t="shared" si="1"/>
        <v>400</v>
      </c>
    </row>
    <row r="14" spans="1:8" x14ac:dyDescent="0.25">
      <c r="A14" s="12" t="s">
        <v>14</v>
      </c>
      <c r="B14" s="5">
        <f>+'2510'!H14</f>
        <v>37925</v>
      </c>
      <c r="C14" s="5">
        <v>25000</v>
      </c>
      <c r="D14" s="5" t="s">
        <v>18</v>
      </c>
      <c r="E14" s="14">
        <f>56*25</f>
        <v>1400</v>
      </c>
      <c r="F14" s="4">
        <v>93</v>
      </c>
      <c r="G14" s="4">
        <f t="shared" si="0"/>
        <v>130200</v>
      </c>
      <c r="H14" s="5">
        <f>B14-E14+C14</f>
        <v>61525</v>
      </c>
    </row>
    <row r="15" spans="1:8" x14ac:dyDescent="0.25">
      <c r="A15" s="12" t="s">
        <v>15</v>
      </c>
      <c r="B15" s="5">
        <f>+'2510'!H15</f>
        <v>2482</v>
      </c>
      <c r="C15" s="5"/>
      <c r="D15" s="5" t="s">
        <v>18</v>
      </c>
      <c r="E15" s="14">
        <v>84</v>
      </c>
      <c r="F15" s="4">
        <v>67.23</v>
      </c>
      <c r="G15" s="4">
        <f t="shared" si="0"/>
        <v>5647.3200000000006</v>
      </c>
      <c r="H15" s="5">
        <f t="shared" si="1"/>
        <v>2398</v>
      </c>
    </row>
    <row r="16" spans="1:8" x14ac:dyDescent="0.25">
      <c r="A16" s="12" t="s">
        <v>16</v>
      </c>
      <c r="B16" s="5">
        <f>+'2510'!H16</f>
        <v>325</v>
      </c>
      <c r="C16" s="5"/>
      <c r="D16" s="5" t="s">
        <v>22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+'2510'!H17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f>+'2510'!H18</f>
        <v>1548.3999999999999</v>
      </c>
      <c r="C18" s="5"/>
      <c r="D18" s="5" t="s">
        <v>18</v>
      </c>
      <c r="E18" s="13">
        <v>1.177</v>
      </c>
      <c r="F18" s="10">
        <v>877.28</v>
      </c>
      <c r="G18" s="10">
        <f t="shared" si="0"/>
        <v>1032.5585599999999</v>
      </c>
      <c r="H18" s="5">
        <f>B18-E18</f>
        <v>1547.223</v>
      </c>
    </row>
    <row r="19" spans="1:8" x14ac:dyDescent="0.25">
      <c r="A19" s="13" t="s">
        <v>61</v>
      </c>
      <c r="B19" s="5">
        <f>+'2510'!H19</f>
        <v>360.55</v>
      </c>
      <c r="C19" s="5"/>
      <c r="D19" s="5" t="s">
        <v>18</v>
      </c>
      <c r="E19" s="13">
        <v>4.4400000000000004</v>
      </c>
      <c r="F19" s="10">
        <v>601.1</v>
      </c>
      <c r="G19" s="10">
        <f t="shared" si="0"/>
        <v>2668.8840000000005</v>
      </c>
      <c r="H19" s="5">
        <f t="shared" si="1"/>
        <v>356.11</v>
      </c>
    </row>
    <row r="20" spans="1:8" x14ac:dyDescent="0.25">
      <c r="A20" s="13" t="s">
        <v>62</v>
      </c>
      <c r="B20" s="5">
        <f>+'2510'!H20</f>
        <v>990.5</v>
      </c>
      <c r="C20" s="5"/>
      <c r="D20" s="5" t="s">
        <v>18</v>
      </c>
      <c r="E20" s="13"/>
      <c r="F20" s="10">
        <v>568.61</v>
      </c>
      <c r="G20" s="10">
        <f t="shared" si="0"/>
        <v>0</v>
      </c>
      <c r="H20" s="5">
        <f t="shared" si="1"/>
        <v>990.5</v>
      </c>
    </row>
    <row r="21" spans="1:8" x14ac:dyDescent="0.25">
      <c r="A21" s="13" t="s">
        <v>63</v>
      </c>
      <c r="B21" s="5">
        <f>+'2510'!H21</f>
        <v>2464.6</v>
      </c>
      <c r="C21" s="5"/>
      <c r="D21" s="5" t="s">
        <v>18</v>
      </c>
      <c r="E21" s="13"/>
      <c r="F21" s="10">
        <v>333.04</v>
      </c>
      <c r="G21" s="10">
        <f t="shared" si="0"/>
        <v>0</v>
      </c>
      <c r="H21" s="5">
        <f t="shared" si="1"/>
        <v>2464.6</v>
      </c>
    </row>
    <row r="22" spans="1:8" x14ac:dyDescent="0.25">
      <c r="A22" s="13" t="s">
        <v>64</v>
      </c>
      <c r="B22" s="5">
        <f>+'2510'!H22</f>
        <v>1277.25</v>
      </c>
      <c r="C22" s="5"/>
      <c r="D22" s="5" t="s">
        <v>18</v>
      </c>
      <c r="E22" s="13"/>
      <c r="F22" s="10">
        <v>714.82</v>
      </c>
      <c r="G22" s="10">
        <f t="shared" si="0"/>
        <v>0</v>
      </c>
      <c r="H22" s="5">
        <f t="shared" si="1"/>
        <v>1277.25</v>
      </c>
    </row>
    <row r="23" spans="1:8" x14ac:dyDescent="0.25">
      <c r="A23" s="13" t="s">
        <v>65</v>
      </c>
      <c r="B23" s="5">
        <f>+'2510'!H23</f>
        <v>230</v>
      </c>
      <c r="C23" s="5"/>
      <c r="D23" s="5" t="s">
        <v>18</v>
      </c>
      <c r="E23" s="13"/>
      <c r="F23" s="10">
        <v>487.38</v>
      </c>
      <c r="G23" s="10">
        <f t="shared" si="0"/>
        <v>0</v>
      </c>
      <c r="H23" s="5">
        <f t="shared" si="1"/>
        <v>230</v>
      </c>
    </row>
    <row r="24" spans="1:8" x14ac:dyDescent="0.25">
      <c r="A24" s="13" t="s">
        <v>66</v>
      </c>
      <c r="B24" s="5">
        <f>+'2510'!H24</f>
        <v>976.27</v>
      </c>
      <c r="C24" s="5"/>
      <c r="D24" s="5" t="s">
        <v>18</v>
      </c>
      <c r="E24" s="13">
        <v>1.228</v>
      </c>
      <c r="F24" s="10">
        <v>844.79</v>
      </c>
      <c r="G24" s="10">
        <f t="shared" si="0"/>
        <v>1037.40212</v>
      </c>
      <c r="H24" s="5">
        <f t="shared" si="1"/>
        <v>975.04200000000003</v>
      </c>
    </row>
    <row r="25" spans="1:8" x14ac:dyDescent="0.25">
      <c r="A25" s="13" t="s">
        <v>67</v>
      </c>
      <c r="B25" s="5">
        <f>+'2510'!H25</f>
        <v>1104</v>
      </c>
      <c r="C25" s="5"/>
      <c r="D25" s="5" t="s">
        <v>18</v>
      </c>
      <c r="E25" s="13"/>
      <c r="F25" s="10">
        <v>901.65</v>
      </c>
      <c r="G25" s="10">
        <f t="shared" si="0"/>
        <v>0</v>
      </c>
      <c r="H25" s="5">
        <f t="shared" si="1"/>
        <v>1104</v>
      </c>
    </row>
    <row r="26" spans="1:8" x14ac:dyDescent="0.25">
      <c r="A26" s="13" t="s">
        <v>68</v>
      </c>
      <c r="B26" s="5">
        <f>+'2510'!H26</f>
        <v>240.88</v>
      </c>
      <c r="C26" s="5"/>
      <c r="D26" s="5" t="s">
        <v>18</v>
      </c>
      <c r="E26" s="13"/>
      <c r="F26" s="10">
        <v>877.28</v>
      </c>
      <c r="G26" s="10">
        <f t="shared" si="0"/>
        <v>0</v>
      </c>
      <c r="H26" s="5">
        <f t="shared" si="1"/>
        <v>240.88</v>
      </c>
    </row>
    <row r="27" spans="1:8" x14ac:dyDescent="0.25">
      <c r="A27" s="13" t="s">
        <v>69</v>
      </c>
      <c r="B27" s="5">
        <f>+'2510'!H27</f>
        <v>1070.7</v>
      </c>
      <c r="C27" s="5"/>
      <c r="D27" s="5" t="s">
        <v>18</v>
      </c>
      <c r="E27" s="13">
        <v>9.69</v>
      </c>
      <c r="F27" s="10">
        <v>300.55</v>
      </c>
      <c r="G27" s="10">
        <f t="shared" si="0"/>
        <v>2912.3294999999998</v>
      </c>
      <c r="H27" s="5">
        <f t="shared" si="1"/>
        <v>1061.01</v>
      </c>
    </row>
    <row r="28" spans="1:8" x14ac:dyDescent="0.25">
      <c r="A28" s="13" t="s">
        <v>70</v>
      </c>
      <c r="B28" s="5">
        <f>+'2510'!H28</f>
        <v>14837.179999999998</v>
      </c>
      <c r="C28" s="5"/>
      <c r="D28" s="5" t="s">
        <v>18</v>
      </c>
      <c r="E28" s="13"/>
      <c r="F28" s="10">
        <v>178.7</v>
      </c>
      <c r="G28" s="10">
        <f t="shared" si="0"/>
        <v>0</v>
      </c>
      <c r="H28" s="5">
        <f t="shared" si="1"/>
        <v>14837.179999999998</v>
      </c>
    </row>
    <row r="29" spans="1:8" x14ac:dyDescent="0.25">
      <c r="A29" s="11" t="s">
        <v>27</v>
      </c>
      <c r="B29" s="5">
        <f>+'2510'!H29</f>
        <v>19</v>
      </c>
      <c r="C29" s="5"/>
      <c r="D29" s="5" t="s">
        <v>18</v>
      </c>
      <c r="E29" s="14"/>
      <c r="F29" s="4"/>
      <c r="G29" s="4">
        <f t="shared" si="0"/>
        <v>0</v>
      </c>
      <c r="H29" s="5">
        <f t="shared" si="1"/>
        <v>19</v>
      </c>
    </row>
    <row r="30" spans="1:8" x14ac:dyDescent="0.25">
      <c r="A30" s="11" t="s">
        <v>28</v>
      </c>
      <c r="B30" s="5">
        <f>+'2510'!H30</f>
        <v>0</v>
      </c>
      <c r="C30" s="5"/>
      <c r="D30" s="5" t="s">
        <v>18</v>
      </c>
      <c r="E30" s="14"/>
      <c r="F30" s="4"/>
      <c r="G30" s="4">
        <f t="shared" si="0"/>
        <v>0</v>
      </c>
      <c r="H30" s="5">
        <f t="shared" si="1"/>
        <v>0</v>
      </c>
    </row>
    <row r="31" spans="1:8" x14ac:dyDescent="0.25">
      <c r="A31" s="11" t="s">
        <v>73</v>
      </c>
      <c r="B31" s="5">
        <f>+'2510'!H31</f>
        <v>100</v>
      </c>
      <c r="C31" s="5"/>
      <c r="D31" s="5" t="s">
        <v>18</v>
      </c>
      <c r="E31" s="14"/>
      <c r="F31" s="4"/>
      <c r="G31" s="4">
        <f t="shared" si="0"/>
        <v>0</v>
      </c>
      <c r="H31" s="5">
        <f t="shared" si="1"/>
        <v>100</v>
      </c>
    </row>
    <row r="32" spans="1:8" x14ac:dyDescent="0.25">
      <c r="A32" s="11" t="s">
        <v>29</v>
      </c>
      <c r="B32" s="5">
        <f>+'2510'!H32</f>
        <v>60</v>
      </c>
      <c r="C32" s="5"/>
      <c r="D32" s="5" t="s">
        <v>18</v>
      </c>
      <c r="E32" s="14"/>
      <c r="F32" s="4"/>
      <c r="G32" s="4">
        <f t="shared" si="0"/>
        <v>0</v>
      </c>
      <c r="H32" s="5">
        <f t="shared" si="1"/>
        <v>60</v>
      </c>
    </row>
    <row r="33" spans="1:8" x14ac:dyDescent="0.25">
      <c r="A33" s="11" t="s">
        <v>30</v>
      </c>
      <c r="B33" s="5">
        <f>+'2510'!H33</f>
        <v>149</v>
      </c>
      <c r="C33" s="5"/>
      <c r="D33" s="5" t="s">
        <v>18</v>
      </c>
      <c r="E33" s="14"/>
      <c r="F33" s="4"/>
      <c r="G33" s="4">
        <f t="shared" si="0"/>
        <v>0</v>
      </c>
      <c r="H33" s="5">
        <f t="shared" si="1"/>
        <v>149</v>
      </c>
    </row>
    <row r="34" spans="1:8" x14ac:dyDescent="0.25">
      <c r="A34" s="11" t="s">
        <v>31</v>
      </c>
      <c r="B34" s="5">
        <f>+'2510'!H34</f>
        <v>20</v>
      </c>
      <c r="C34" s="5"/>
      <c r="D34" s="5" t="s">
        <v>18</v>
      </c>
      <c r="E34" s="14"/>
      <c r="F34" s="4"/>
      <c r="G34" s="4">
        <f t="shared" si="0"/>
        <v>0</v>
      </c>
      <c r="H34" s="5">
        <f t="shared" si="1"/>
        <v>20</v>
      </c>
    </row>
    <row r="35" spans="1:8" x14ac:dyDescent="0.25">
      <c r="A35" s="11" t="s">
        <v>32</v>
      </c>
      <c r="B35" s="5">
        <f>+'2510'!H35</f>
        <v>40</v>
      </c>
      <c r="C35" s="5"/>
      <c r="D35" s="5" t="s">
        <v>18</v>
      </c>
      <c r="E35" s="14"/>
      <c r="F35" s="4"/>
      <c r="G35" s="4">
        <f t="shared" si="0"/>
        <v>0</v>
      </c>
      <c r="H35" s="5">
        <f t="shared" si="1"/>
        <v>40</v>
      </c>
    </row>
    <row r="36" spans="1:8" x14ac:dyDescent="0.25">
      <c r="A36" s="11" t="s">
        <v>33</v>
      </c>
      <c r="B36" s="5">
        <f>+'2510'!H36</f>
        <v>60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60</v>
      </c>
    </row>
    <row r="37" spans="1:8" x14ac:dyDescent="0.25">
      <c r="A37" s="11" t="s">
        <v>34</v>
      </c>
      <c r="B37" s="5">
        <f>+'2510'!H37</f>
        <v>60</v>
      </c>
      <c r="C37" s="5"/>
      <c r="D37" s="5" t="s">
        <v>18</v>
      </c>
      <c r="E37" s="14"/>
      <c r="F37" s="4"/>
      <c r="G37" s="4">
        <f t="shared" si="0"/>
        <v>0</v>
      </c>
      <c r="H37" s="5">
        <f t="shared" si="1"/>
        <v>60</v>
      </c>
    </row>
    <row r="38" spans="1:8" x14ac:dyDescent="0.25">
      <c r="A38" s="11" t="s">
        <v>35</v>
      </c>
      <c r="B38" s="5">
        <f>+'2510'!H38</f>
        <v>100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100</v>
      </c>
    </row>
    <row r="39" spans="1:8" x14ac:dyDescent="0.25">
      <c r="A39" s="11" t="s">
        <v>36</v>
      </c>
      <c r="B39" s="5">
        <f>+'2510'!H39</f>
        <v>20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20</v>
      </c>
    </row>
    <row r="40" spans="1:8" x14ac:dyDescent="0.25">
      <c r="A40" s="11" t="s">
        <v>37</v>
      </c>
      <c r="B40" s="5">
        <f>+'2510'!H40</f>
        <v>20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20</v>
      </c>
    </row>
    <row r="41" spans="1:8" x14ac:dyDescent="0.25">
      <c r="A41" s="11" t="s">
        <v>38</v>
      </c>
      <c r="B41" s="5">
        <f>+'2510'!H41</f>
        <v>40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40</v>
      </c>
    </row>
    <row r="42" spans="1:8" x14ac:dyDescent="0.25">
      <c r="A42" s="11" t="s">
        <v>39</v>
      </c>
      <c r="B42" s="5">
        <f>+'2510'!H42</f>
        <v>100</v>
      </c>
      <c r="C42" s="5"/>
      <c r="D42" s="5" t="s">
        <v>18</v>
      </c>
      <c r="E42" s="14"/>
      <c r="F42" s="4"/>
      <c r="G42" s="4">
        <f t="shared" si="0"/>
        <v>0</v>
      </c>
      <c r="H42" s="5">
        <f t="shared" si="1"/>
        <v>100</v>
      </c>
    </row>
    <row r="43" spans="1:8" x14ac:dyDescent="0.25">
      <c r="A43" s="11" t="s">
        <v>40</v>
      </c>
      <c r="B43" s="5">
        <f>+'2510'!H43</f>
        <v>40</v>
      </c>
      <c r="C43" s="5"/>
      <c r="D43" s="5" t="s">
        <v>18</v>
      </c>
      <c r="E43" s="14"/>
      <c r="F43" s="4"/>
      <c r="G43" s="4">
        <f t="shared" si="0"/>
        <v>0</v>
      </c>
      <c r="H43" s="5">
        <f t="shared" si="1"/>
        <v>40</v>
      </c>
    </row>
    <row r="44" spans="1:8" x14ac:dyDescent="0.25">
      <c r="A44" s="11" t="s">
        <v>41</v>
      </c>
      <c r="B44" s="5">
        <f>+'2510'!H44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42</v>
      </c>
      <c r="B45" s="5">
        <f>+'2510'!H45</f>
        <v>160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160</v>
      </c>
    </row>
    <row r="46" spans="1:8" x14ac:dyDescent="0.25">
      <c r="A46" s="11" t="s">
        <v>43</v>
      </c>
      <c r="B46" s="5">
        <f>+'2510'!H46</f>
        <v>83</v>
      </c>
      <c r="C46" s="5"/>
      <c r="D46" s="5" t="s">
        <v>18</v>
      </c>
      <c r="E46" s="14"/>
      <c r="F46" s="4"/>
      <c r="G46" s="4">
        <f t="shared" si="0"/>
        <v>0</v>
      </c>
      <c r="H46" s="5">
        <f t="shared" si="1"/>
        <v>83</v>
      </c>
    </row>
    <row r="47" spans="1:8" x14ac:dyDescent="0.25">
      <c r="A47" s="11" t="s">
        <v>74</v>
      </c>
      <c r="B47" s="5">
        <f>+'2510'!H47</f>
        <v>100</v>
      </c>
      <c r="C47" s="5"/>
      <c r="D47" s="5" t="s">
        <v>18</v>
      </c>
      <c r="E47" s="14">
        <v>20</v>
      </c>
      <c r="F47" s="4"/>
      <c r="G47" s="4">
        <f t="shared" si="0"/>
        <v>0</v>
      </c>
      <c r="H47" s="5">
        <f t="shared" si="1"/>
        <v>80</v>
      </c>
    </row>
    <row r="48" spans="1:8" x14ac:dyDescent="0.25">
      <c r="A48" s="11" t="s">
        <v>44</v>
      </c>
      <c r="B48" s="5">
        <f>+'2510'!H48</f>
        <v>40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40</v>
      </c>
    </row>
    <row r="49" spans="1:8" x14ac:dyDescent="0.25">
      <c r="A49" s="11" t="s">
        <v>45</v>
      </c>
      <c r="B49" s="5">
        <f>+'2510'!H49</f>
        <v>120</v>
      </c>
      <c r="C49" s="5"/>
      <c r="D49" s="5" t="s">
        <v>18</v>
      </c>
      <c r="E49" s="14"/>
      <c r="F49" s="4"/>
      <c r="G49" s="4">
        <f t="shared" si="0"/>
        <v>0</v>
      </c>
      <c r="H49" s="5">
        <f t="shared" si="1"/>
        <v>120</v>
      </c>
    </row>
    <row r="50" spans="1:8" x14ac:dyDescent="0.25">
      <c r="A50" s="11" t="s">
        <v>46</v>
      </c>
      <c r="B50" s="5">
        <f>+'2510'!H50</f>
        <v>60</v>
      </c>
      <c r="C50" s="5"/>
      <c r="D50" s="5" t="s">
        <v>18</v>
      </c>
      <c r="E50" s="14">
        <v>20</v>
      </c>
      <c r="F50" s="4"/>
      <c r="G50" s="4">
        <f t="shared" si="0"/>
        <v>0</v>
      </c>
      <c r="H50" s="5">
        <f t="shared" si="1"/>
        <v>40</v>
      </c>
    </row>
    <row r="51" spans="1:8" x14ac:dyDescent="0.25">
      <c r="A51" s="11" t="s">
        <v>47</v>
      </c>
      <c r="B51" s="5">
        <f>+'2510'!H51</f>
        <v>199</v>
      </c>
      <c r="C51" s="5"/>
      <c r="D51" s="5" t="s">
        <v>18</v>
      </c>
      <c r="E51" s="14"/>
      <c r="F51" s="4"/>
      <c r="G51" s="4">
        <f t="shared" si="0"/>
        <v>0</v>
      </c>
      <c r="H51" s="5">
        <f t="shared" si="1"/>
        <v>199</v>
      </c>
    </row>
    <row r="52" spans="1:8" x14ac:dyDescent="0.25">
      <c r="A52" s="11" t="s">
        <v>72</v>
      </c>
      <c r="B52" s="5">
        <f>+'2510'!H52</f>
        <v>34</v>
      </c>
      <c r="C52" s="5"/>
      <c r="D52" s="5" t="s">
        <v>18</v>
      </c>
      <c r="E52" s="14">
        <v>34</v>
      </c>
      <c r="F52" s="4"/>
      <c r="G52" s="4">
        <f t="shared" si="0"/>
        <v>0</v>
      </c>
      <c r="H52" s="5">
        <f t="shared" si="1"/>
        <v>0</v>
      </c>
    </row>
    <row r="53" spans="1:8" x14ac:dyDescent="0.25">
      <c r="A53" s="11" t="s">
        <v>48</v>
      </c>
      <c r="B53" s="5">
        <f>+'2510'!H53</f>
        <v>80</v>
      </c>
      <c r="C53" s="5"/>
      <c r="D53" s="5" t="s">
        <v>18</v>
      </c>
      <c r="E53" s="14"/>
      <c r="F53" s="4"/>
      <c r="G53" s="4">
        <f t="shared" si="0"/>
        <v>0</v>
      </c>
      <c r="H53" s="5">
        <f t="shared" si="1"/>
        <v>80</v>
      </c>
    </row>
    <row r="54" spans="1:8" x14ac:dyDescent="0.25">
      <c r="A54" s="11" t="s">
        <v>75</v>
      </c>
      <c r="B54" s="5">
        <v>17</v>
      </c>
      <c r="C54" s="5"/>
      <c r="D54" s="5" t="s">
        <v>18</v>
      </c>
      <c r="E54" s="14"/>
      <c r="F54" s="4"/>
      <c r="G54" s="4">
        <f t="shared" ref="G54" si="2">E54*F54</f>
        <v>0</v>
      </c>
      <c r="H54" s="5">
        <f t="shared" ref="H54" si="3">B54-E54</f>
        <v>17</v>
      </c>
    </row>
    <row r="55" spans="1:8" x14ac:dyDescent="0.25">
      <c r="A55" s="11" t="s">
        <v>49</v>
      </c>
      <c r="B55" s="5">
        <f>+'2510'!H54</f>
        <v>180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180</v>
      </c>
    </row>
    <row r="56" spans="1:8" x14ac:dyDescent="0.25">
      <c r="A56" s="11" t="s">
        <v>50</v>
      </c>
      <c r="B56" s="5">
        <f>+'2510'!H55</f>
        <v>80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80</v>
      </c>
    </row>
    <row r="57" spans="1:8" x14ac:dyDescent="0.25">
      <c r="A57" s="11" t="s">
        <v>51</v>
      </c>
      <c r="B57" s="5">
        <f>+'2510'!H56</f>
        <v>20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20</v>
      </c>
    </row>
    <row r="58" spans="1:8" x14ac:dyDescent="0.25">
      <c r="A58" s="11" t="s">
        <v>52</v>
      </c>
      <c r="B58" s="5">
        <f>+'2510'!H57</f>
        <v>100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100</v>
      </c>
    </row>
    <row r="59" spans="1:8" x14ac:dyDescent="0.25">
      <c r="A59" s="11" t="s">
        <v>53</v>
      </c>
      <c r="B59" s="5">
        <f>+'2510'!H58</f>
        <v>40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40</v>
      </c>
    </row>
    <row r="60" spans="1:8" x14ac:dyDescent="0.25">
      <c r="A60" s="11" t="s">
        <v>54</v>
      </c>
      <c r="B60" s="5">
        <f>+'2510'!H59</f>
        <v>60</v>
      </c>
      <c r="C60" s="5"/>
      <c r="D60" s="5" t="s">
        <v>18</v>
      </c>
      <c r="E60" s="14"/>
      <c r="F60" s="4"/>
      <c r="G60" s="4">
        <f t="shared" si="0"/>
        <v>0</v>
      </c>
      <c r="H60" s="5">
        <f t="shared" si="1"/>
        <v>60</v>
      </c>
    </row>
    <row r="61" spans="1:8" x14ac:dyDescent="0.25">
      <c r="A61" s="11" t="s">
        <v>55</v>
      </c>
      <c r="B61" s="5">
        <f>+'2510'!H60</f>
        <v>100</v>
      </c>
      <c r="C61" s="5"/>
      <c r="D61" s="5" t="s">
        <v>18</v>
      </c>
      <c r="E61" s="14"/>
      <c r="F61" s="4"/>
      <c r="G61" s="4">
        <f t="shared" si="0"/>
        <v>0</v>
      </c>
      <c r="H61" s="5">
        <f t="shared" si="1"/>
        <v>100</v>
      </c>
    </row>
    <row r="62" spans="1:8" x14ac:dyDescent="0.25">
      <c r="A62" s="11" t="s">
        <v>56</v>
      </c>
      <c r="B62" s="5">
        <f>+'2510'!H61</f>
        <v>20</v>
      </c>
      <c r="C62" s="5"/>
      <c r="D62" s="5" t="s">
        <v>18</v>
      </c>
      <c r="E62" s="14"/>
      <c r="F62" s="4"/>
      <c r="G62" s="4">
        <f t="shared" si="0"/>
        <v>0</v>
      </c>
      <c r="H62" s="5">
        <f t="shared" si="1"/>
        <v>20</v>
      </c>
    </row>
    <row r="63" spans="1:8" x14ac:dyDescent="0.25">
      <c r="A63" s="11" t="s">
        <v>57</v>
      </c>
      <c r="B63" s="5">
        <f>+'2510'!H62</f>
        <v>80</v>
      </c>
      <c r="C63" s="5"/>
      <c r="D63" s="5" t="s">
        <v>18</v>
      </c>
      <c r="E63" s="14"/>
      <c r="F63" s="4"/>
      <c r="G63" s="4">
        <f t="shared" si="0"/>
        <v>0</v>
      </c>
      <c r="H63" s="5">
        <f t="shared" si="1"/>
        <v>80</v>
      </c>
    </row>
    <row r="64" spans="1:8" x14ac:dyDescent="0.25">
      <c r="A64" s="11" t="s">
        <v>58</v>
      </c>
      <c r="B64" s="5">
        <f>+'2510'!H63</f>
        <v>182</v>
      </c>
      <c r="C64" s="5"/>
      <c r="D64" s="5" t="s">
        <v>18</v>
      </c>
      <c r="E64" s="14">
        <v>40</v>
      </c>
      <c r="F64" s="4"/>
      <c r="G64" s="4">
        <f t="shared" si="0"/>
        <v>0</v>
      </c>
      <c r="H64" s="5">
        <f t="shared" si="1"/>
        <v>142</v>
      </c>
    </row>
    <row r="65" spans="1:8" x14ac:dyDescent="0.25">
      <c r="A65" s="11" t="s">
        <v>71</v>
      </c>
      <c r="B65" s="5">
        <f>+'2510'!H64</f>
        <v>34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34</v>
      </c>
    </row>
    <row r="66" spans="1:8" x14ac:dyDescent="0.25">
      <c r="A66" s="11" t="s">
        <v>59</v>
      </c>
      <c r="B66" s="5">
        <f>+'2510'!H65</f>
        <v>40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40</v>
      </c>
    </row>
    <row r="67" spans="1:8" x14ac:dyDescent="0.25">
      <c r="A67" s="11"/>
      <c r="B67" s="5">
        <f>+'2510'!H66</f>
        <v>0</v>
      </c>
      <c r="C67" s="5"/>
      <c r="D67" s="5" t="s">
        <v>18</v>
      </c>
      <c r="E67" s="14"/>
      <c r="F67" s="4"/>
      <c r="G67" s="4">
        <f t="shared" si="0"/>
        <v>0</v>
      </c>
      <c r="H67" s="5">
        <f t="shared" si="1"/>
        <v>0</v>
      </c>
    </row>
    <row r="68" spans="1:8" x14ac:dyDescent="0.25">
      <c r="A68" s="3"/>
      <c r="B68" s="5">
        <f>+'2510'!H67</f>
        <v>0</v>
      </c>
      <c r="C68" s="5"/>
      <c r="D68" s="5" t="s">
        <v>18</v>
      </c>
      <c r="E68" s="14"/>
      <c r="F68" s="4"/>
      <c r="G68" s="4">
        <f t="shared" si="0"/>
        <v>0</v>
      </c>
      <c r="H68" s="5">
        <f t="shared" si="1"/>
        <v>0</v>
      </c>
    </row>
    <row r="69" spans="1:8" ht="18.75" x14ac:dyDescent="0.3">
      <c r="A69" s="7" t="s">
        <v>2</v>
      </c>
      <c r="B69" s="7"/>
      <c r="C69" s="7"/>
      <c r="D69" s="7"/>
      <c r="E69" s="8">
        <f>SUM(E4:E68)</f>
        <v>1673.5350000000001</v>
      </c>
      <c r="F69" s="8"/>
      <c r="G69" s="8"/>
      <c r="H69" s="8"/>
    </row>
  </sheetData>
  <mergeCells count="2">
    <mergeCell ref="A2:A3"/>
    <mergeCell ref="B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9"/>
  <sheetViews>
    <sheetView topLeftCell="A52" workbookViewId="0">
      <selection activeCell="E41" sqref="E41:E68"/>
    </sheetView>
  </sheetViews>
  <sheetFormatPr baseColWidth="10" defaultRowHeight="15" x14ac:dyDescent="0.25"/>
  <cols>
    <col min="1" max="1" width="15.28515625" customWidth="1"/>
  </cols>
  <sheetData>
    <row r="2" spans="1:8" ht="15.75" x14ac:dyDescent="0.25">
      <c r="A2" s="27" t="s">
        <v>1</v>
      </c>
      <c r="B2" s="31">
        <v>45958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+'2710'!H4</f>
        <v>47</v>
      </c>
      <c r="C4" s="5"/>
      <c r="D4" s="5" t="s">
        <v>21</v>
      </c>
      <c r="E4" s="14">
        <v>6</v>
      </c>
      <c r="F4" s="4">
        <v>230.62</v>
      </c>
      <c r="G4" s="4">
        <f>E4*F4</f>
        <v>1383.72</v>
      </c>
      <c r="H4" s="5">
        <f>B4-E4</f>
        <v>41</v>
      </c>
    </row>
    <row r="5" spans="1:8" x14ac:dyDescent="0.25">
      <c r="A5" s="12" t="s">
        <v>6</v>
      </c>
      <c r="B5" s="5">
        <f>+'2710'!H5</f>
        <v>69</v>
      </c>
      <c r="C5" s="5"/>
      <c r="D5" s="5" t="s">
        <v>21</v>
      </c>
      <c r="E5" s="14"/>
      <c r="F5" s="4">
        <v>91.2</v>
      </c>
      <c r="G5" s="4">
        <f t="shared" ref="G5:G68" si="0">E5*F5</f>
        <v>0</v>
      </c>
      <c r="H5" s="5">
        <f t="shared" ref="H5:H68" si="1">B5-E5</f>
        <v>69</v>
      </c>
    </row>
    <row r="6" spans="1:8" x14ac:dyDescent="0.25">
      <c r="A6" s="12" t="s">
        <v>7</v>
      </c>
      <c r="B6" s="5">
        <f>+'2710'!H6</f>
        <v>222</v>
      </c>
      <c r="C6" s="5"/>
      <c r="D6" s="5" t="s">
        <v>21</v>
      </c>
      <c r="E6" s="14">
        <v>1</v>
      </c>
      <c r="F6" s="4">
        <v>3500</v>
      </c>
      <c r="G6" s="4">
        <f t="shared" si="0"/>
        <v>3500</v>
      </c>
      <c r="H6" s="5">
        <f t="shared" si="1"/>
        <v>221</v>
      </c>
    </row>
    <row r="7" spans="1:8" x14ac:dyDescent="0.25">
      <c r="A7" s="12" t="s">
        <v>8</v>
      </c>
      <c r="B7" s="5">
        <f>+'2710'!H7</f>
        <v>16</v>
      </c>
      <c r="C7" s="5"/>
      <c r="D7" s="5" t="s">
        <v>21</v>
      </c>
      <c r="E7" s="14">
        <v>1</v>
      </c>
      <c r="F7" s="4">
        <v>3300</v>
      </c>
      <c r="G7" s="4">
        <f t="shared" si="0"/>
        <v>3300</v>
      </c>
      <c r="H7" s="5">
        <f t="shared" si="1"/>
        <v>15</v>
      </c>
    </row>
    <row r="8" spans="1:8" x14ac:dyDescent="0.25">
      <c r="A8" s="12" t="s">
        <v>9</v>
      </c>
      <c r="B8" s="5">
        <f>+'2710'!H8</f>
        <v>49</v>
      </c>
      <c r="C8" s="5"/>
      <c r="D8" s="5" t="s">
        <v>21</v>
      </c>
      <c r="E8" s="14"/>
      <c r="F8" s="4">
        <v>1554.62</v>
      </c>
      <c r="G8" s="4">
        <f t="shared" si="0"/>
        <v>0</v>
      </c>
      <c r="H8" s="5">
        <f t="shared" si="1"/>
        <v>49</v>
      </c>
    </row>
    <row r="9" spans="1:8" x14ac:dyDescent="0.25">
      <c r="A9" s="12" t="s">
        <v>10</v>
      </c>
      <c r="B9" s="5">
        <f>+'2710'!H9</f>
        <v>2396</v>
      </c>
      <c r="C9" s="5"/>
      <c r="D9" s="5" t="s">
        <v>18</v>
      </c>
      <c r="E9" s="14"/>
      <c r="F9" s="4">
        <v>210</v>
      </c>
      <c r="G9" s="4">
        <f t="shared" si="0"/>
        <v>0</v>
      </c>
      <c r="H9" s="5">
        <f t="shared" si="1"/>
        <v>2396</v>
      </c>
    </row>
    <row r="10" spans="1:8" x14ac:dyDescent="0.25">
      <c r="A10" s="12" t="s">
        <v>23</v>
      </c>
      <c r="B10" s="5">
        <f>+'2710'!H10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+'2710'!H11</f>
        <v>1230</v>
      </c>
      <c r="C11" s="5"/>
      <c r="D11" s="5" t="s">
        <v>18</v>
      </c>
      <c r="E11" s="14">
        <v>60</v>
      </c>
      <c r="F11" s="4">
        <v>290</v>
      </c>
      <c r="G11" s="4">
        <f t="shared" si="0"/>
        <v>17400</v>
      </c>
      <c r="H11" s="5">
        <f>B11-E11</f>
        <v>1170</v>
      </c>
    </row>
    <row r="12" spans="1:8" x14ac:dyDescent="0.25">
      <c r="A12" s="12" t="s">
        <v>12</v>
      </c>
      <c r="B12" s="5">
        <f>+'2710'!H12</f>
        <v>2825</v>
      </c>
      <c r="C12" s="5"/>
      <c r="D12" s="5" t="s">
        <v>18</v>
      </c>
      <c r="E12" s="14"/>
      <c r="F12" s="4">
        <v>49.5</v>
      </c>
      <c r="G12" s="4">
        <f t="shared" si="0"/>
        <v>0</v>
      </c>
      <c r="H12" s="5">
        <f t="shared" si="1"/>
        <v>2825</v>
      </c>
    </row>
    <row r="13" spans="1:8" x14ac:dyDescent="0.25">
      <c r="A13" s="12" t="s">
        <v>13</v>
      </c>
      <c r="B13" s="5">
        <f>+'2710'!H13</f>
        <v>400</v>
      </c>
      <c r="C13" s="5"/>
      <c r="D13" s="5" t="s">
        <v>18</v>
      </c>
      <c r="E13" s="14"/>
      <c r="F13" s="4">
        <v>285</v>
      </c>
      <c r="G13" s="4">
        <f t="shared" si="0"/>
        <v>0</v>
      </c>
      <c r="H13" s="5">
        <f t="shared" si="1"/>
        <v>400</v>
      </c>
    </row>
    <row r="14" spans="1:8" x14ac:dyDescent="0.25">
      <c r="A14" s="12" t="s">
        <v>14</v>
      </c>
      <c r="B14" s="5">
        <f>+'2710'!H14</f>
        <v>61525</v>
      </c>
      <c r="C14" s="5"/>
      <c r="D14" s="5" t="s">
        <v>18</v>
      </c>
      <c r="E14" s="14">
        <f>70*25</f>
        <v>1750</v>
      </c>
      <c r="F14" s="4">
        <v>93</v>
      </c>
      <c r="G14" s="4">
        <f t="shared" si="0"/>
        <v>162750</v>
      </c>
      <c r="H14" s="5">
        <f>B14-E14</f>
        <v>59775</v>
      </c>
    </row>
    <row r="15" spans="1:8" x14ac:dyDescent="0.25">
      <c r="A15" s="12" t="s">
        <v>15</v>
      </c>
      <c r="B15" s="5">
        <f>+'2710'!H15</f>
        <v>2398</v>
      </c>
      <c r="C15" s="5"/>
      <c r="D15" s="5" t="s">
        <v>18</v>
      </c>
      <c r="E15" s="14">
        <v>56</v>
      </c>
      <c r="F15" s="4">
        <v>67.23</v>
      </c>
      <c r="G15" s="4">
        <f t="shared" si="0"/>
        <v>3764.88</v>
      </c>
      <c r="H15" s="5">
        <f t="shared" si="1"/>
        <v>2342</v>
      </c>
    </row>
    <row r="16" spans="1:8" x14ac:dyDescent="0.25">
      <c r="A16" s="12" t="s">
        <v>16</v>
      </c>
      <c r="B16" s="5">
        <f>+'2710'!H16</f>
        <v>325</v>
      </c>
      <c r="C16" s="5"/>
      <c r="D16" s="5" t="s">
        <v>22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+'2710'!H17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f>+'2710'!H18</f>
        <v>1547.223</v>
      </c>
      <c r="C18" s="5"/>
      <c r="D18" s="5" t="s">
        <v>18</v>
      </c>
      <c r="E18" s="13"/>
      <c r="F18" s="10">
        <v>877.28</v>
      </c>
      <c r="G18" s="10">
        <f t="shared" si="0"/>
        <v>0</v>
      </c>
      <c r="H18" s="5">
        <f t="shared" si="1"/>
        <v>1547.223</v>
      </c>
    </row>
    <row r="19" spans="1:8" x14ac:dyDescent="0.25">
      <c r="A19" s="13" t="s">
        <v>61</v>
      </c>
      <c r="B19" s="5">
        <f>+'2710'!H19</f>
        <v>356.11</v>
      </c>
      <c r="C19" s="5"/>
      <c r="D19" s="5" t="s">
        <v>18</v>
      </c>
      <c r="E19" s="13"/>
      <c r="F19" s="10">
        <v>601.1</v>
      </c>
      <c r="G19" s="10">
        <f t="shared" si="0"/>
        <v>0</v>
      </c>
      <c r="H19" s="5">
        <f t="shared" si="1"/>
        <v>356.11</v>
      </c>
    </row>
    <row r="20" spans="1:8" x14ac:dyDescent="0.25">
      <c r="A20" s="13" t="s">
        <v>62</v>
      </c>
      <c r="B20" s="5">
        <f>+'2710'!H20</f>
        <v>990.5</v>
      </c>
      <c r="C20" s="5"/>
      <c r="D20" s="5" t="s">
        <v>18</v>
      </c>
      <c r="E20" s="13"/>
      <c r="F20" s="10">
        <v>568.61</v>
      </c>
      <c r="G20" s="10">
        <f t="shared" si="0"/>
        <v>0</v>
      </c>
      <c r="H20" s="5">
        <f t="shared" si="1"/>
        <v>990.5</v>
      </c>
    </row>
    <row r="21" spans="1:8" x14ac:dyDescent="0.25">
      <c r="A21" s="13" t="s">
        <v>63</v>
      </c>
      <c r="B21" s="5">
        <f>+'2710'!H21</f>
        <v>2464.6</v>
      </c>
      <c r="C21" s="5"/>
      <c r="D21" s="5" t="s">
        <v>18</v>
      </c>
      <c r="E21" s="13"/>
      <c r="F21" s="10">
        <v>333.04</v>
      </c>
      <c r="G21" s="10">
        <f t="shared" si="0"/>
        <v>0</v>
      </c>
      <c r="H21" s="5">
        <f t="shared" si="1"/>
        <v>2464.6</v>
      </c>
    </row>
    <row r="22" spans="1:8" x14ac:dyDescent="0.25">
      <c r="A22" s="13" t="s">
        <v>64</v>
      </c>
      <c r="B22" s="5">
        <f>+'2710'!H22</f>
        <v>1277.25</v>
      </c>
      <c r="C22" s="5"/>
      <c r="D22" s="5" t="s">
        <v>18</v>
      </c>
      <c r="E22" s="13"/>
      <c r="F22" s="10">
        <v>714.82</v>
      </c>
      <c r="G22" s="10">
        <f t="shared" si="0"/>
        <v>0</v>
      </c>
      <c r="H22" s="5">
        <f t="shared" si="1"/>
        <v>1277.25</v>
      </c>
    </row>
    <row r="23" spans="1:8" x14ac:dyDescent="0.25">
      <c r="A23" s="13" t="s">
        <v>65</v>
      </c>
      <c r="B23" s="5">
        <f>+'2710'!H23</f>
        <v>230</v>
      </c>
      <c r="C23" s="5"/>
      <c r="D23" s="5" t="s">
        <v>18</v>
      </c>
      <c r="E23" s="13"/>
      <c r="F23" s="10">
        <v>487.38</v>
      </c>
      <c r="G23" s="10">
        <f t="shared" si="0"/>
        <v>0</v>
      </c>
      <c r="H23" s="5">
        <f t="shared" si="1"/>
        <v>230</v>
      </c>
    </row>
    <row r="24" spans="1:8" x14ac:dyDescent="0.25">
      <c r="A24" s="13" t="s">
        <v>66</v>
      </c>
      <c r="B24" s="5">
        <f>+'2710'!H24</f>
        <v>975.04200000000003</v>
      </c>
      <c r="C24" s="5"/>
      <c r="D24" s="5" t="s">
        <v>18</v>
      </c>
      <c r="E24" s="13"/>
      <c r="F24" s="10">
        <v>844.79</v>
      </c>
      <c r="G24" s="10">
        <f t="shared" si="0"/>
        <v>0</v>
      </c>
      <c r="H24" s="5">
        <f t="shared" si="1"/>
        <v>975.04200000000003</v>
      </c>
    </row>
    <row r="25" spans="1:8" x14ac:dyDescent="0.25">
      <c r="A25" s="13" t="s">
        <v>67</v>
      </c>
      <c r="B25" s="5">
        <f>+'2710'!H25</f>
        <v>1104</v>
      </c>
      <c r="C25" s="5"/>
      <c r="D25" s="5" t="s">
        <v>18</v>
      </c>
      <c r="E25" s="13"/>
      <c r="F25" s="10">
        <v>901.65</v>
      </c>
      <c r="G25" s="10">
        <f t="shared" si="0"/>
        <v>0</v>
      </c>
      <c r="H25" s="5">
        <f t="shared" si="1"/>
        <v>1104</v>
      </c>
    </row>
    <row r="26" spans="1:8" x14ac:dyDescent="0.25">
      <c r="A26" s="13" t="s">
        <v>68</v>
      </c>
      <c r="B26" s="5">
        <f>+'2710'!H26</f>
        <v>240.88</v>
      </c>
      <c r="C26" s="5"/>
      <c r="D26" s="5" t="s">
        <v>18</v>
      </c>
      <c r="E26" s="13"/>
      <c r="F26" s="10">
        <v>877.28</v>
      </c>
      <c r="G26" s="10">
        <f t="shared" si="0"/>
        <v>0</v>
      </c>
      <c r="H26" s="5">
        <f t="shared" si="1"/>
        <v>240.88</v>
      </c>
    </row>
    <row r="27" spans="1:8" x14ac:dyDescent="0.25">
      <c r="A27" s="13" t="s">
        <v>69</v>
      </c>
      <c r="B27" s="5">
        <f>+'2710'!H27</f>
        <v>1061.01</v>
      </c>
      <c r="C27" s="5"/>
      <c r="D27" s="5" t="s">
        <v>18</v>
      </c>
      <c r="E27" s="13"/>
      <c r="F27" s="10">
        <v>300.55</v>
      </c>
      <c r="G27" s="10">
        <f t="shared" si="0"/>
        <v>0</v>
      </c>
      <c r="H27" s="5">
        <f t="shared" si="1"/>
        <v>1061.01</v>
      </c>
    </row>
    <row r="28" spans="1:8" x14ac:dyDescent="0.25">
      <c r="A28" s="13" t="s">
        <v>70</v>
      </c>
      <c r="B28" s="5">
        <f>+'2710'!H28</f>
        <v>14837.179999999998</v>
      </c>
      <c r="C28" s="5"/>
      <c r="D28" s="5" t="s">
        <v>18</v>
      </c>
      <c r="E28" s="13"/>
      <c r="F28" s="10">
        <v>178.7</v>
      </c>
      <c r="G28" s="10">
        <f t="shared" si="0"/>
        <v>0</v>
      </c>
      <c r="H28" s="5">
        <f t="shared" si="1"/>
        <v>14837.179999999998</v>
      </c>
    </row>
    <row r="29" spans="1:8" x14ac:dyDescent="0.25">
      <c r="A29" s="11" t="s">
        <v>27</v>
      </c>
      <c r="B29" s="5">
        <f>+'2710'!H29</f>
        <v>19</v>
      </c>
      <c r="C29" s="5"/>
      <c r="D29" s="5" t="s">
        <v>18</v>
      </c>
      <c r="E29" s="14"/>
      <c r="F29" s="4"/>
      <c r="G29" s="4">
        <f t="shared" si="0"/>
        <v>0</v>
      </c>
      <c r="H29" s="5">
        <f t="shared" si="1"/>
        <v>19</v>
      </c>
    </row>
    <row r="30" spans="1:8" x14ac:dyDescent="0.25">
      <c r="A30" s="11" t="s">
        <v>28</v>
      </c>
      <c r="B30" s="5">
        <f>+'2710'!H30</f>
        <v>0</v>
      </c>
      <c r="C30" s="5"/>
      <c r="D30" s="5" t="s">
        <v>18</v>
      </c>
      <c r="E30" s="14"/>
      <c r="F30" s="4"/>
      <c r="G30" s="4">
        <f t="shared" si="0"/>
        <v>0</v>
      </c>
      <c r="H30" s="5">
        <f t="shared" si="1"/>
        <v>0</v>
      </c>
    </row>
    <row r="31" spans="1:8" x14ac:dyDescent="0.25">
      <c r="A31" s="11" t="s">
        <v>73</v>
      </c>
      <c r="B31" s="5">
        <f>+'2710'!H31</f>
        <v>100</v>
      </c>
      <c r="C31" s="5"/>
      <c r="D31" s="5" t="s">
        <v>18</v>
      </c>
      <c r="E31" s="14"/>
      <c r="F31" s="4"/>
      <c r="G31" s="4">
        <f t="shared" si="0"/>
        <v>0</v>
      </c>
      <c r="H31" s="5">
        <f t="shared" si="1"/>
        <v>100</v>
      </c>
    </row>
    <row r="32" spans="1:8" x14ac:dyDescent="0.25">
      <c r="A32" s="11" t="s">
        <v>29</v>
      </c>
      <c r="B32" s="5">
        <f>+'2710'!H32</f>
        <v>60</v>
      </c>
      <c r="C32" s="5"/>
      <c r="D32" s="5" t="s">
        <v>18</v>
      </c>
      <c r="E32" s="14"/>
      <c r="F32" s="4"/>
      <c r="G32" s="4">
        <f t="shared" si="0"/>
        <v>0</v>
      </c>
      <c r="H32" s="5">
        <f t="shared" si="1"/>
        <v>60</v>
      </c>
    </row>
    <row r="33" spans="1:8" x14ac:dyDescent="0.25">
      <c r="A33" s="11" t="s">
        <v>30</v>
      </c>
      <c r="B33" s="5">
        <f>+'2710'!H33</f>
        <v>149</v>
      </c>
      <c r="C33" s="5"/>
      <c r="D33" s="5" t="s">
        <v>18</v>
      </c>
      <c r="E33" s="14"/>
      <c r="F33" s="4"/>
      <c r="G33" s="4">
        <f t="shared" si="0"/>
        <v>0</v>
      </c>
      <c r="H33" s="5">
        <f t="shared" si="1"/>
        <v>149</v>
      </c>
    </row>
    <row r="34" spans="1:8" x14ac:dyDescent="0.25">
      <c r="A34" s="11" t="s">
        <v>31</v>
      </c>
      <c r="B34" s="5">
        <f>+'2710'!H34</f>
        <v>20</v>
      </c>
      <c r="C34" s="5"/>
      <c r="D34" s="5" t="s">
        <v>18</v>
      </c>
      <c r="E34" s="14"/>
      <c r="F34" s="4"/>
      <c r="G34" s="4">
        <f t="shared" si="0"/>
        <v>0</v>
      </c>
      <c r="H34" s="5">
        <f t="shared" si="1"/>
        <v>20</v>
      </c>
    </row>
    <row r="35" spans="1:8" x14ac:dyDescent="0.25">
      <c r="A35" s="11" t="s">
        <v>32</v>
      </c>
      <c r="B35" s="5">
        <f>+'2710'!H35</f>
        <v>40</v>
      </c>
      <c r="C35" s="5"/>
      <c r="D35" s="5" t="s">
        <v>18</v>
      </c>
      <c r="E35" s="14"/>
      <c r="F35" s="4"/>
      <c r="G35" s="4">
        <f t="shared" si="0"/>
        <v>0</v>
      </c>
      <c r="H35" s="5">
        <f t="shared" si="1"/>
        <v>40</v>
      </c>
    </row>
    <row r="36" spans="1:8" x14ac:dyDescent="0.25">
      <c r="A36" s="11" t="s">
        <v>33</v>
      </c>
      <c r="B36" s="5">
        <f>+'2710'!H36</f>
        <v>60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60</v>
      </c>
    </row>
    <row r="37" spans="1:8" x14ac:dyDescent="0.25">
      <c r="A37" s="11" t="s">
        <v>34</v>
      </c>
      <c r="B37" s="5">
        <f>+'2710'!H37</f>
        <v>60</v>
      </c>
      <c r="C37" s="5"/>
      <c r="D37" s="5" t="s">
        <v>18</v>
      </c>
      <c r="E37" s="14"/>
      <c r="F37" s="4"/>
      <c r="G37" s="4">
        <f t="shared" si="0"/>
        <v>0</v>
      </c>
      <c r="H37" s="5">
        <f t="shared" si="1"/>
        <v>60</v>
      </c>
    </row>
    <row r="38" spans="1:8" x14ac:dyDescent="0.25">
      <c r="A38" s="11" t="s">
        <v>35</v>
      </c>
      <c r="B38" s="5">
        <f>+'2710'!H38</f>
        <v>100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100</v>
      </c>
    </row>
    <row r="39" spans="1:8" x14ac:dyDescent="0.25">
      <c r="A39" s="11" t="s">
        <v>36</v>
      </c>
      <c r="B39" s="5">
        <f>+'2710'!H39</f>
        <v>20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20</v>
      </c>
    </row>
    <row r="40" spans="1:8" x14ac:dyDescent="0.25">
      <c r="A40" s="11" t="s">
        <v>37</v>
      </c>
      <c r="B40" s="5">
        <f>+'2710'!H40</f>
        <v>20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20</v>
      </c>
    </row>
    <row r="41" spans="1:8" x14ac:dyDescent="0.25">
      <c r="A41" s="11" t="s">
        <v>38</v>
      </c>
      <c r="B41" s="5">
        <f>+'2710'!H41</f>
        <v>40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40</v>
      </c>
    </row>
    <row r="42" spans="1:8" x14ac:dyDescent="0.25">
      <c r="A42" s="11" t="s">
        <v>39</v>
      </c>
      <c r="B42" s="5">
        <f>+'2710'!H42</f>
        <v>100</v>
      </c>
      <c r="C42" s="5"/>
      <c r="D42" s="5" t="s">
        <v>18</v>
      </c>
      <c r="E42" s="14"/>
      <c r="F42" s="4"/>
      <c r="G42" s="4">
        <f t="shared" si="0"/>
        <v>0</v>
      </c>
      <c r="H42" s="5">
        <f t="shared" si="1"/>
        <v>100</v>
      </c>
    </row>
    <row r="43" spans="1:8" x14ac:dyDescent="0.25">
      <c r="A43" s="11" t="s">
        <v>40</v>
      </c>
      <c r="B43" s="5">
        <f>+'2710'!H43</f>
        <v>40</v>
      </c>
      <c r="C43" s="5"/>
      <c r="D43" s="5" t="s">
        <v>18</v>
      </c>
      <c r="E43" s="14">
        <v>20</v>
      </c>
      <c r="F43" s="4"/>
      <c r="G43" s="4">
        <f t="shared" si="0"/>
        <v>0</v>
      </c>
      <c r="H43" s="5">
        <f t="shared" si="1"/>
        <v>20</v>
      </c>
    </row>
    <row r="44" spans="1:8" x14ac:dyDescent="0.25">
      <c r="A44" s="11" t="s">
        <v>41</v>
      </c>
      <c r="B44" s="5">
        <f>+'2710'!H44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42</v>
      </c>
      <c r="B45" s="5">
        <f>+'2710'!H45</f>
        <v>160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160</v>
      </c>
    </row>
    <row r="46" spans="1:8" x14ac:dyDescent="0.25">
      <c r="A46" s="11" t="s">
        <v>43</v>
      </c>
      <c r="B46" s="5">
        <f>+'2710'!H46</f>
        <v>83</v>
      </c>
      <c r="C46" s="5"/>
      <c r="D46" s="5" t="s">
        <v>18</v>
      </c>
      <c r="E46" s="14"/>
      <c r="F46" s="4"/>
      <c r="G46" s="4">
        <f t="shared" si="0"/>
        <v>0</v>
      </c>
      <c r="H46" s="5">
        <f t="shared" si="1"/>
        <v>83</v>
      </c>
    </row>
    <row r="47" spans="1:8" x14ac:dyDescent="0.25">
      <c r="A47" s="11" t="s">
        <v>74</v>
      </c>
      <c r="B47" s="5">
        <f>+'2710'!H47</f>
        <v>80</v>
      </c>
      <c r="C47" s="5"/>
      <c r="D47" s="5" t="s">
        <v>18</v>
      </c>
      <c r="E47" s="14">
        <v>20</v>
      </c>
      <c r="F47" s="4"/>
      <c r="G47" s="4">
        <f t="shared" si="0"/>
        <v>0</v>
      </c>
      <c r="H47" s="5">
        <f t="shared" si="1"/>
        <v>60</v>
      </c>
    </row>
    <row r="48" spans="1:8" x14ac:dyDescent="0.25">
      <c r="A48" s="11" t="s">
        <v>44</v>
      </c>
      <c r="B48" s="5">
        <f>+'2710'!H48</f>
        <v>40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40</v>
      </c>
    </row>
    <row r="49" spans="1:8" x14ac:dyDescent="0.25">
      <c r="A49" s="11" t="s">
        <v>45</v>
      </c>
      <c r="B49" s="5">
        <f>+'2710'!H49</f>
        <v>120</v>
      </c>
      <c r="C49" s="5"/>
      <c r="D49" s="5" t="s">
        <v>18</v>
      </c>
      <c r="E49" s="14"/>
      <c r="F49" s="4"/>
      <c r="G49" s="4">
        <f t="shared" si="0"/>
        <v>0</v>
      </c>
      <c r="H49" s="5">
        <f t="shared" si="1"/>
        <v>120</v>
      </c>
    </row>
    <row r="50" spans="1:8" x14ac:dyDescent="0.25">
      <c r="A50" s="11" t="s">
        <v>46</v>
      </c>
      <c r="B50" s="5">
        <f>+'2710'!H50</f>
        <v>40</v>
      </c>
      <c r="C50" s="5"/>
      <c r="D50" s="5" t="s">
        <v>18</v>
      </c>
      <c r="E50" s="14">
        <v>20</v>
      </c>
      <c r="F50" s="4"/>
      <c r="G50" s="4">
        <f t="shared" si="0"/>
        <v>0</v>
      </c>
      <c r="H50" s="5">
        <f t="shared" si="1"/>
        <v>20</v>
      </c>
    </row>
    <row r="51" spans="1:8" x14ac:dyDescent="0.25">
      <c r="A51" s="11" t="s">
        <v>47</v>
      </c>
      <c r="B51" s="5">
        <f>+'2710'!H51</f>
        <v>199</v>
      </c>
      <c r="C51" s="5"/>
      <c r="D51" s="5" t="s">
        <v>18</v>
      </c>
      <c r="E51" s="14"/>
      <c r="F51" s="4"/>
      <c r="G51" s="4">
        <f t="shared" si="0"/>
        <v>0</v>
      </c>
      <c r="H51" s="5">
        <f t="shared" si="1"/>
        <v>199</v>
      </c>
    </row>
    <row r="52" spans="1:8" x14ac:dyDescent="0.25">
      <c r="A52" s="11" t="s">
        <v>72</v>
      </c>
      <c r="B52" s="5">
        <f>+'2710'!H52</f>
        <v>0</v>
      </c>
      <c r="C52" s="5"/>
      <c r="D52" s="5" t="s">
        <v>18</v>
      </c>
      <c r="E52" s="14"/>
      <c r="F52" s="4"/>
      <c r="G52" s="4">
        <f t="shared" si="0"/>
        <v>0</v>
      </c>
      <c r="H52" s="5">
        <f t="shared" si="1"/>
        <v>0</v>
      </c>
    </row>
    <row r="53" spans="1:8" x14ac:dyDescent="0.25">
      <c r="A53" s="11" t="s">
        <v>48</v>
      </c>
      <c r="B53" s="5">
        <f>+'2710'!H53</f>
        <v>80</v>
      </c>
      <c r="C53" s="5"/>
      <c r="D53" s="5" t="s">
        <v>18</v>
      </c>
      <c r="E53" s="14"/>
      <c r="F53" s="4"/>
      <c r="G53" s="4">
        <f t="shared" si="0"/>
        <v>0</v>
      </c>
      <c r="H53" s="5">
        <f t="shared" si="1"/>
        <v>80</v>
      </c>
    </row>
    <row r="54" spans="1:8" x14ac:dyDescent="0.25">
      <c r="A54" s="11" t="s">
        <v>75</v>
      </c>
      <c r="B54" s="5">
        <f>+'2710'!H54</f>
        <v>17</v>
      </c>
      <c r="C54" s="5"/>
      <c r="D54" s="5" t="s">
        <v>18</v>
      </c>
      <c r="E54" s="14"/>
      <c r="F54" s="4"/>
      <c r="G54" s="4">
        <f t="shared" si="0"/>
        <v>0</v>
      </c>
      <c r="H54" s="5">
        <f t="shared" si="1"/>
        <v>17</v>
      </c>
    </row>
    <row r="55" spans="1:8" x14ac:dyDescent="0.25">
      <c r="A55" s="11" t="s">
        <v>49</v>
      </c>
      <c r="B55" s="5">
        <f>+'2710'!H55</f>
        <v>180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180</v>
      </c>
    </row>
    <row r="56" spans="1:8" x14ac:dyDescent="0.25">
      <c r="A56" s="11" t="s">
        <v>50</v>
      </c>
      <c r="B56" s="5">
        <f>+'2710'!H56</f>
        <v>80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80</v>
      </c>
    </row>
    <row r="57" spans="1:8" x14ac:dyDescent="0.25">
      <c r="A57" s="11" t="s">
        <v>51</v>
      </c>
      <c r="B57" s="5">
        <f>+'2710'!H57</f>
        <v>20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20</v>
      </c>
    </row>
    <row r="58" spans="1:8" x14ac:dyDescent="0.25">
      <c r="A58" s="11" t="s">
        <v>52</v>
      </c>
      <c r="B58" s="5">
        <f>+'2710'!H58</f>
        <v>100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100</v>
      </c>
    </row>
    <row r="59" spans="1:8" x14ac:dyDescent="0.25">
      <c r="A59" s="11" t="s">
        <v>53</v>
      </c>
      <c r="B59" s="5">
        <f>+'2710'!H59</f>
        <v>40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40</v>
      </c>
    </row>
    <row r="60" spans="1:8" x14ac:dyDescent="0.25">
      <c r="A60" s="11" t="s">
        <v>54</v>
      </c>
      <c r="B60" s="5">
        <f>+'2710'!H60</f>
        <v>60</v>
      </c>
      <c r="C60" s="5"/>
      <c r="D60" s="5" t="s">
        <v>18</v>
      </c>
      <c r="E60" s="14"/>
      <c r="F60" s="4"/>
      <c r="G60" s="4">
        <f t="shared" si="0"/>
        <v>0</v>
      </c>
      <c r="H60" s="5">
        <f t="shared" si="1"/>
        <v>60</v>
      </c>
    </row>
    <row r="61" spans="1:8" x14ac:dyDescent="0.25">
      <c r="A61" s="11" t="s">
        <v>55</v>
      </c>
      <c r="B61" s="5">
        <f>+'2710'!H61</f>
        <v>100</v>
      </c>
      <c r="C61" s="5"/>
      <c r="D61" s="5" t="s">
        <v>18</v>
      </c>
      <c r="E61" s="14"/>
      <c r="F61" s="4"/>
      <c r="G61" s="4">
        <f t="shared" si="0"/>
        <v>0</v>
      </c>
      <c r="H61" s="5">
        <f t="shared" si="1"/>
        <v>100</v>
      </c>
    </row>
    <row r="62" spans="1:8" x14ac:dyDescent="0.25">
      <c r="A62" s="11" t="s">
        <v>56</v>
      </c>
      <c r="B62" s="5">
        <f>+'2710'!H62</f>
        <v>20</v>
      </c>
      <c r="C62" s="5"/>
      <c r="D62" s="5" t="s">
        <v>18</v>
      </c>
      <c r="E62" s="14"/>
      <c r="F62" s="4"/>
      <c r="G62" s="4">
        <f t="shared" si="0"/>
        <v>0</v>
      </c>
      <c r="H62" s="5">
        <f t="shared" si="1"/>
        <v>20</v>
      </c>
    </row>
    <row r="63" spans="1:8" x14ac:dyDescent="0.25">
      <c r="A63" s="11" t="s">
        <v>57</v>
      </c>
      <c r="B63" s="5">
        <f>+'2710'!H63</f>
        <v>80</v>
      </c>
      <c r="C63" s="5"/>
      <c r="D63" s="5" t="s">
        <v>18</v>
      </c>
      <c r="E63" s="14"/>
      <c r="F63" s="4"/>
      <c r="G63" s="4">
        <f t="shared" si="0"/>
        <v>0</v>
      </c>
      <c r="H63" s="5">
        <f t="shared" si="1"/>
        <v>80</v>
      </c>
    </row>
    <row r="64" spans="1:8" x14ac:dyDescent="0.25">
      <c r="A64" s="11" t="s">
        <v>58</v>
      </c>
      <c r="B64" s="5">
        <f>+'2710'!H64</f>
        <v>142</v>
      </c>
      <c r="C64" s="5"/>
      <c r="D64" s="5" t="s">
        <v>18</v>
      </c>
      <c r="E64" s="14">
        <v>17</v>
      </c>
      <c r="F64" s="4"/>
      <c r="G64" s="4">
        <f t="shared" si="0"/>
        <v>0</v>
      </c>
      <c r="H64" s="5">
        <f t="shared" si="1"/>
        <v>125</v>
      </c>
    </row>
    <row r="65" spans="1:8" x14ac:dyDescent="0.25">
      <c r="A65" s="11" t="s">
        <v>71</v>
      </c>
      <c r="B65" s="5">
        <f>+'2710'!H65</f>
        <v>34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34</v>
      </c>
    </row>
    <row r="66" spans="1:8" x14ac:dyDescent="0.25">
      <c r="A66" s="11" t="s">
        <v>59</v>
      </c>
      <c r="B66" s="5">
        <f>+'2710'!H66</f>
        <v>40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40</v>
      </c>
    </row>
    <row r="67" spans="1:8" x14ac:dyDescent="0.25">
      <c r="A67" s="11"/>
      <c r="B67" s="5">
        <f>+'2710'!H67</f>
        <v>0</v>
      </c>
      <c r="C67" s="5"/>
      <c r="D67" s="5" t="s">
        <v>18</v>
      </c>
      <c r="E67" s="14"/>
      <c r="F67" s="4"/>
      <c r="G67" s="4">
        <f t="shared" si="0"/>
        <v>0</v>
      </c>
      <c r="H67" s="5">
        <f t="shared" si="1"/>
        <v>0</v>
      </c>
    </row>
    <row r="68" spans="1:8" x14ac:dyDescent="0.25">
      <c r="A68" s="3"/>
      <c r="B68" s="5">
        <f>+'2710'!H68</f>
        <v>0</v>
      </c>
      <c r="C68" s="5"/>
      <c r="D68" s="5" t="s">
        <v>18</v>
      </c>
      <c r="E68" s="14"/>
      <c r="F68" s="4"/>
      <c r="G68" s="4">
        <f t="shared" si="0"/>
        <v>0</v>
      </c>
      <c r="H68" s="5">
        <f t="shared" si="1"/>
        <v>0</v>
      </c>
    </row>
    <row r="69" spans="1:8" ht="18.75" x14ac:dyDescent="0.3">
      <c r="A69" s="7" t="s">
        <v>2</v>
      </c>
      <c r="B69" s="7"/>
      <c r="C69" s="7"/>
      <c r="D69" s="7"/>
      <c r="E69" s="8">
        <f>SUM(E4:E68)</f>
        <v>1951</v>
      </c>
      <c r="F69" s="8"/>
      <c r="G69" s="8"/>
      <c r="H69" s="8"/>
    </row>
  </sheetData>
  <mergeCells count="2">
    <mergeCell ref="A2:A3"/>
    <mergeCell ref="B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0"/>
  <sheetViews>
    <sheetView topLeftCell="A51" workbookViewId="0">
      <selection activeCell="E34" sqref="E34:E69"/>
    </sheetView>
  </sheetViews>
  <sheetFormatPr baseColWidth="10" defaultRowHeight="15" x14ac:dyDescent="0.25"/>
  <cols>
    <col min="1" max="1" width="18.28515625" customWidth="1"/>
  </cols>
  <sheetData>
    <row r="2" spans="1:8" ht="15.75" x14ac:dyDescent="0.25">
      <c r="A2" s="27" t="s">
        <v>1</v>
      </c>
      <c r="B2" s="31">
        <v>45959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+'2810'!H4</f>
        <v>41</v>
      </c>
      <c r="C4" s="5"/>
      <c r="D4" s="5" t="s">
        <v>21</v>
      </c>
      <c r="E4" s="14">
        <v>3</v>
      </c>
      <c r="F4" s="4">
        <v>230.62</v>
      </c>
      <c r="G4" s="4">
        <f>E4*F4</f>
        <v>691.86</v>
      </c>
      <c r="H4" s="5">
        <f>B4-E4</f>
        <v>38</v>
      </c>
    </row>
    <row r="5" spans="1:8" x14ac:dyDescent="0.25">
      <c r="A5" s="12" t="s">
        <v>6</v>
      </c>
      <c r="B5" s="5">
        <f>+'2810'!H5</f>
        <v>69</v>
      </c>
      <c r="C5" s="5"/>
      <c r="D5" s="5" t="s">
        <v>21</v>
      </c>
      <c r="E5" s="14">
        <v>3</v>
      </c>
      <c r="F5" s="4">
        <v>91.2</v>
      </c>
      <c r="G5" s="4">
        <f t="shared" ref="G5:G69" si="0">E5*F5</f>
        <v>273.60000000000002</v>
      </c>
      <c r="H5" s="5">
        <f t="shared" ref="H5:H69" si="1">B5-E5</f>
        <v>66</v>
      </c>
    </row>
    <row r="6" spans="1:8" x14ac:dyDescent="0.25">
      <c r="A6" s="12" t="s">
        <v>7</v>
      </c>
      <c r="B6" s="5">
        <f>+'2810'!H6</f>
        <v>221</v>
      </c>
      <c r="C6" s="5"/>
      <c r="D6" s="5" t="s">
        <v>21</v>
      </c>
      <c r="E6" s="14">
        <v>2</v>
      </c>
      <c r="F6" s="4">
        <v>3500</v>
      </c>
      <c r="G6" s="4">
        <f t="shared" si="0"/>
        <v>7000</v>
      </c>
      <c r="H6" s="5">
        <f t="shared" si="1"/>
        <v>219</v>
      </c>
    </row>
    <row r="7" spans="1:8" x14ac:dyDescent="0.25">
      <c r="A7" s="12" t="s">
        <v>8</v>
      </c>
      <c r="B7" s="5">
        <f>+'2810'!H7</f>
        <v>15</v>
      </c>
      <c r="C7" s="5"/>
      <c r="D7" s="5" t="s">
        <v>21</v>
      </c>
      <c r="E7" s="14">
        <v>1</v>
      </c>
      <c r="F7" s="4">
        <v>3300</v>
      </c>
      <c r="G7" s="4">
        <f t="shared" si="0"/>
        <v>3300</v>
      </c>
      <c r="H7" s="5">
        <f t="shared" si="1"/>
        <v>14</v>
      </c>
    </row>
    <row r="8" spans="1:8" x14ac:dyDescent="0.25">
      <c r="A8" s="12" t="s">
        <v>9</v>
      </c>
      <c r="B8" s="5">
        <f>+'2810'!H8</f>
        <v>49</v>
      </c>
      <c r="C8" s="5"/>
      <c r="D8" s="5" t="s">
        <v>21</v>
      </c>
      <c r="E8" s="14">
        <v>1</v>
      </c>
      <c r="F8" s="4">
        <v>1554.62</v>
      </c>
      <c r="G8" s="4">
        <f t="shared" si="0"/>
        <v>1554.62</v>
      </c>
      <c r="H8" s="5">
        <f t="shared" si="1"/>
        <v>48</v>
      </c>
    </row>
    <row r="9" spans="1:8" x14ac:dyDescent="0.25">
      <c r="A9" s="12" t="s">
        <v>10</v>
      </c>
      <c r="B9" s="5">
        <f>+'2810'!H9</f>
        <v>2396</v>
      </c>
      <c r="C9" s="5"/>
      <c r="D9" s="5" t="s">
        <v>18</v>
      </c>
      <c r="E9" s="14">
        <v>48</v>
      </c>
      <c r="F9" s="4">
        <v>210</v>
      </c>
      <c r="G9" s="4">
        <f t="shared" si="0"/>
        <v>10080</v>
      </c>
      <c r="H9" s="5">
        <f t="shared" si="1"/>
        <v>2348</v>
      </c>
    </row>
    <row r="10" spans="1:8" x14ac:dyDescent="0.25">
      <c r="A10" s="12" t="s">
        <v>23</v>
      </c>
      <c r="B10" s="5">
        <f>+'2810'!H10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+'2810'!H11</f>
        <v>1170</v>
      </c>
      <c r="C11" s="5"/>
      <c r="D11" s="5" t="s">
        <v>18</v>
      </c>
      <c r="E11" s="14"/>
      <c r="F11" s="4">
        <v>290</v>
      </c>
      <c r="G11" s="4">
        <f t="shared" si="0"/>
        <v>0</v>
      </c>
      <c r="H11" s="5">
        <f>B11-E11</f>
        <v>1170</v>
      </c>
    </row>
    <row r="12" spans="1:8" x14ac:dyDescent="0.25">
      <c r="A12" s="12" t="s">
        <v>12</v>
      </c>
      <c r="B12" s="5">
        <f>+'2810'!H12</f>
        <v>2825</v>
      </c>
      <c r="C12" s="5"/>
      <c r="D12" s="5" t="s">
        <v>18</v>
      </c>
      <c r="E12" s="14">
        <v>100</v>
      </c>
      <c r="F12" s="4">
        <v>49.5</v>
      </c>
      <c r="G12" s="4">
        <f t="shared" si="0"/>
        <v>4950</v>
      </c>
      <c r="H12" s="5">
        <f t="shared" si="1"/>
        <v>2725</v>
      </c>
    </row>
    <row r="13" spans="1:8" x14ac:dyDescent="0.25">
      <c r="A13" s="12" t="s">
        <v>13</v>
      </c>
      <c r="B13" s="5">
        <f>+'2810'!H13</f>
        <v>400</v>
      </c>
      <c r="C13" s="5"/>
      <c r="D13" s="5" t="s">
        <v>18</v>
      </c>
      <c r="E13" s="14"/>
      <c r="F13" s="4">
        <v>285</v>
      </c>
      <c r="G13" s="4">
        <f t="shared" si="0"/>
        <v>0</v>
      </c>
      <c r="H13" s="5">
        <f t="shared" si="1"/>
        <v>400</v>
      </c>
    </row>
    <row r="14" spans="1:8" x14ac:dyDescent="0.25">
      <c r="A14" s="12" t="s">
        <v>14</v>
      </c>
      <c r="B14" s="5">
        <f>+'2810'!H14</f>
        <v>59775</v>
      </c>
      <c r="C14" s="5"/>
      <c r="D14" s="5" t="s">
        <v>18</v>
      </c>
      <c r="E14" s="14">
        <f>20*25</f>
        <v>500</v>
      </c>
      <c r="F14" s="4">
        <v>93</v>
      </c>
      <c r="G14" s="4">
        <f t="shared" si="0"/>
        <v>46500</v>
      </c>
      <c r="H14" s="5">
        <f>B14-E14</f>
        <v>59275</v>
      </c>
    </row>
    <row r="15" spans="1:8" x14ac:dyDescent="0.25">
      <c r="A15" s="12" t="s">
        <v>15</v>
      </c>
      <c r="B15" s="5">
        <f>+'2810'!H15</f>
        <v>2342</v>
      </c>
      <c r="C15" s="5"/>
      <c r="D15" s="5" t="s">
        <v>18</v>
      </c>
      <c r="E15" s="14">
        <v>56</v>
      </c>
      <c r="F15" s="4">
        <v>67.23</v>
      </c>
      <c r="G15" s="4">
        <f t="shared" si="0"/>
        <v>3764.88</v>
      </c>
      <c r="H15" s="5">
        <f t="shared" si="1"/>
        <v>2286</v>
      </c>
    </row>
    <row r="16" spans="1:8" x14ac:dyDescent="0.25">
      <c r="A16" s="12" t="s">
        <v>16</v>
      </c>
      <c r="B16" s="5">
        <f>+'2810'!H16</f>
        <v>325</v>
      </c>
      <c r="C16" s="5"/>
      <c r="D16" s="5" t="s">
        <v>18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+'2810'!H17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f>+'2810'!H18</f>
        <v>1547.223</v>
      </c>
      <c r="C18" s="5"/>
      <c r="D18" s="5" t="s">
        <v>18</v>
      </c>
      <c r="E18" s="13"/>
      <c r="F18" s="10">
        <v>877.28</v>
      </c>
      <c r="G18" s="10">
        <f t="shared" si="0"/>
        <v>0</v>
      </c>
      <c r="H18" s="5">
        <f t="shared" si="1"/>
        <v>1547.223</v>
      </c>
    </row>
    <row r="19" spans="1:8" x14ac:dyDescent="0.25">
      <c r="A19" s="13" t="s">
        <v>61</v>
      </c>
      <c r="B19" s="5">
        <f>+'2810'!H19</f>
        <v>356.11</v>
      </c>
      <c r="C19" s="5"/>
      <c r="D19" s="5" t="s">
        <v>18</v>
      </c>
      <c r="E19" s="13">
        <f>4.029</f>
        <v>4.0289999999999999</v>
      </c>
      <c r="F19" s="10">
        <v>601.1</v>
      </c>
      <c r="G19" s="10">
        <f t="shared" si="0"/>
        <v>2421.8319000000001</v>
      </c>
      <c r="H19" s="5">
        <f t="shared" si="1"/>
        <v>352.08100000000002</v>
      </c>
    </row>
    <row r="20" spans="1:8" x14ac:dyDescent="0.25">
      <c r="A20" s="13" t="s">
        <v>62</v>
      </c>
      <c r="B20" s="5">
        <f>+'2810'!H20</f>
        <v>990.5</v>
      </c>
      <c r="C20" s="5"/>
      <c r="D20" s="5" t="s">
        <v>18</v>
      </c>
      <c r="E20" s="13"/>
      <c r="F20" s="10">
        <v>568.61</v>
      </c>
      <c r="G20" s="10">
        <f t="shared" si="0"/>
        <v>0</v>
      </c>
      <c r="H20" s="5">
        <f t="shared" si="1"/>
        <v>990.5</v>
      </c>
    </row>
    <row r="21" spans="1:8" x14ac:dyDescent="0.25">
      <c r="A21" s="13" t="s">
        <v>63</v>
      </c>
      <c r="B21" s="5">
        <f>+'2810'!H21</f>
        <v>2464.6</v>
      </c>
      <c r="C21" s="5"/>
      <c r="D21" s="5" t="s">
        <v>18</v>
      </c>
      <c r="E21" s="13">
        <f>1.831</f>
        <v>1.831</v>
      </c>
      <c r="F21" s="10">
        <v>333.04</v>
      </c>
      <c r="G21" s="10">
        <f t="shared" si="0"/>
        <v>609.79624000000001</v>
      </c>
      <c r="H21" s="5">
        <f t="shared" si="1"/>
        <v>2462.7689999999998</v>
      </c>
    </row>
    <row r="22" spans="1:8" x14ac:dyDescent="0.25">
      <c r="A22" s="13" t="s">
        <v>64</v>
      </c>
      <c r="B22" s="5">
        <f>+'2810'!H22</f>
        <v>1277.25</v>
      </c>
      <c r="C22" s="5"/>
      <c r="D22" s="5" t="s">
        <v>18</v>
      </c>
      <c r="E22" s="13"/>
      <c r="F22" s="10">
        <v>714.82</v>
      </c>
      <c r="G22" s="10">
        <f t="shared" si="0"/>
        <v>0</v>
      </c>
      <c r="H22" s="5">
        <f t="shared" si="1"/>
        <v>1277.25</v>
      </c>
    </row>
    <row r="23" spans="1:8" x14ac:dyDescent="0.25">
      <c r="A23" s="13" t="s">
        <v>65</v>
      </c>
      <c r="B23" s="5">
        <f>+'2810'!H23</f>
        <v>230</v>
      </c>
      <c r="C23" s="5"/>
      <c r="D23" s="5" t="s">
        <v>18</v>
      </c>
      <c r="E23" s="13"/>
      <c r="F23" s="10">
        <v>487.38</v>
      </c>
      <c r="G23" s="10">
        <f t="shared" si="0"/>
        <v>0</v>
      </c>
      <c r="H23" s="5">
        <f t="shared" si="1"/>
        <v>230</v>
      </c>
    </row>
    <row r="24" spans="1:8" x14ac:dyDescent="0.25">
      <c r="A24" s="13" t="s">
        <v>66</v>
      </c>
      <c r="B24" s="5">
        <f>+'2810'!H24</f>
        <v>975.04200000000003</v>
      </c>
      <c r="C24" s="5"/>
      <c r="D24" s="5" t="s">
        <v>18</v>
      </c>
      <c r="E24" s="13"/>
      <c r="F24" s="10">
        <v>844.79</v>
      </c>
      <c r="G24" s="10">
        <f t="shared" si="0"/>
        <v>0</v>
      </c>
      <c r="H24" s="5">
        <f t="shared" si="1"/>
        <v>975.04200000000003</v>
      </c>
    </row>
    <row r="25" spans="1:8" x14ac:dyDescent="0.25">
      <c r="A25" s="13" t="s">
        <v>67</v>
      </c>
      <c r="B25" s="5">
        <f>+'2810'!H25</f>
        <v>1104</v>
      </c>
      <c r="C25" s="5"/>
      <c r="D25" s="5" t="s">
        <v>18</v>
      </c>
      <c r="E25" s="13"/>
      <c r="F25" s="10">
        <v>901.65</v>
      </c>
      <c r="G25" s="10">
        <f t="shared" si="0"/>
        <v>0</v>
      </c>
      <c r="H25" s="5">
        <f t="shared" si="1"/>
        <v>1104</v>
      </c>
    </row>
    <row r="26" spans="1:8" x14ac:dyDescent="0.25">
      <c r="A26" s="13" t="s">
        <v>68</v>
      </c>
      <c r="B26" s="5">
        <f>+'2810'!H26</f>
        <v>240.88</v>
      </c>
      <c r="C26" s="5"/>
      <c r="D26" s="5" t="s">
        <v>18</v>
      </c>
      <c r="E26" s="13">
        <f>5.86</f>
        <v>5.86</v>
      </c>
      <c r="F26" s="10">
        <v>877.28</v>
      </c>
      <c r="G26" s="10">
        <f t="shared" si="0"/>
        <v>5140.8608000000004</v>
      </c>
      <c r="H26" s="5">
        <f t="shared" si="1"/>
        <v>235.01999999999998</v>
      </c>
    </row>
    <row r="27" spans="1:8" x14ac:dyDescent="0.25">
      <c r="A27" s="13" t="s">
        <v>69</v>
      </c>
      <c r="B27" s="5">
        <f>+'2810'!H27</f>
        <v>1061.01</v>
      </c>
      <c r="C27" s="5"/>
      <c r="D27" s="5" t="s">
        <v>18</v>
      </c>
      <c r="E27" s="13"/>
      <c r="F27" s="10">
        <v>300.55</v>
      </c>
      <c r="G27" s="10">
        <f t="shared" si="0"/>
        <v>0</v>
      </c>
      <c r="H27" s="5">
        <f t="shared" si="1"/>
        <v>1061.01</v>
      </c>
    </row>
    <row r="28" spans="1:8" x14ac:dyDescent="0.25">
      <c r="A28" s="13" t="s">
        <v>70</v>
      </c>
      <c r="B28" s="5">
        <f>+'2810'!H28</f>
        <v>14837.179999999998</v>
      </c>
      <c r="C28" s="5"/>
      <c r="D28" s="5" t="s">
        <v>18</v>
      </c>
      <c r="E28" s="13">
        <f>4.759</f>
        <v>4.7590000000000003</v>
      </c>
      <c r="F28" s="10">
        <v>178.7</v>
      </c>
      <c r="G28" s="10">
        <f t="shared" si="0"/>
        <v>850.43330000000003</v>
      </c>
      <c r="H28" s="5">
        <f t="shared" si="1"/>
        <v>14832.420999999998</v>
      </c>
    </row>
    <row r="29" spans="1:8" x14ac:dyDescent="0.25">
      <c r="A29" s="11" t="s">
        <v>27</v>
      </c>
      <c r="B29" s="5">
        <f>+'2810'!H29</f>
        <v>19</v>
      </c>
      <c r="C29" s="5"/>
      <c r="D29" s="5" t="s">
        <v>18</v>
      </c>
      <c r="E29" s="14"/>
      <c r="F29" s="4"/>
      <c r="G29" s="4">
        <f t="shared" si="0"/>
        <v>0</v>
      </c>
      <c r="H29" s="5">
        <f t="shared" si="1"/>
        <v>19</v>
      </c>
    </row>
    <row r="30" spans="1:8" x14ac:dyDescent="0.25">
      <c r="A30" s="11" t="s">
        <v>28</v>
      </c>
      <c r="B30" s="5">
        <f>+'2810'!H30</f>
        <v>0</v>
      </c>
      <c r="C30" s="5"/>
      <c r="D30" s="5" t="s">
        <v>18</v>
      </c>
      <c r="E30" s="14"/>
      <c r="F30" s="4"/>
      <c r="G30" s="4">
        <f t="shared" si="0"/>
        <v>0</v>
      </c>
      <c r="H30" s="5">
        <f t="shared" si="1"/>
        <v>0</v>
      </c>
    </row>
    <row r="31" spans="1:8" x14ac:dyDescent="0.25">
      <c r="A31" s="11" t="s">
        <v>73</v>
      </c>
      <c r="B31" s="5">
        <f>+'2810'!H31</f>
        <v>100</v>
      </c>
      <c r="C31" s="5"/>
      <c r="D31" s="5" t="s">
        <v>18</v>
      </c>
      <c r="E31" s="14"/>
      <c r="F31" s="4"/>
      <c r="G31" s="4">
        <f t="shared" si="0"/>
        <v>0</v>
      </c>
      <c r="H31" s="5">
        <f t="shared" si="1"/>
        <v>100</v>
      </c>
    </row>
    <row r="32" spans="1:8" x14ac:dyDescent="0.25">
      <c r="A32" s="11" t="s">
        <v>29</v>
      </c>
      <c r="B32" s="5">
        <f>+'2810'!H32</f>
        <v>60</v>
      </c>
      <c r="C32" s="5"/>
      <c r="D32" s="5" t="s">
        <v>18</v>
      </c>
      <c r="E32" s="14"/>
      <c r="F32" s="4"/>
      <c r="G32" s="4">
        <f t="shared" si="0"/>
        <v>0</v>
      </c>
      <c r="H32" s="5">
        <f t="shared" si="1"/>
        <v>60</v>
      </c>
    </row>
    <row r="33" spans="1:8" x14ac:dyDescent="0.25">
      <c r="A33" s="11" t="s">
        <v>30</v>
      </c>
      <c r="B33" s="5">
        <f>+'2810'!H33</f>
        <v>149</v>
      </c>
      <c r="C33" s="5"/>
      <c r="D33" s="5" t="s">
        <v>18</v>
      </c>
      <c r="E33" s="14"/>
      <c r="F33" s="4"/>
      <c r="G33" s="4">
        <f t="shared" si="0"/>
        <v>0</v>
      </c>
      <c r="H33" s="5">
        <f t="shared" si="1"/>
        <v>149</v>
      </c>
    </row>
    <row r="34" spans="1:8" x14ac:dyDescent="0.25">
      <c r="A34" s="11" t="s">
        <v>31</v>
      </c>
      <c r="B34" s="5">
        <f>+'2810'!H34</f>
        <v>20</v>
      </c>
      <c r="C34" s="5"/>
      <c r="D34" s="5" t="s">
        <v>18</v>
      </c>
      <c r="E34" s="14">
        <v>20</v>
      </c>
      <c r="F34" s="4"/>
      <c r="G34" s="4">
        <f t="shared" si="0"/>
        <v>0</v>
      </c>
      <c r="H34" s="5">
        <f t="shared" si="1"/>
        <v>0</v>
      </c>
    </row>
    <row r="35" spans="1:8" x14ac:dyDescent="0.25">
      <c r="A35" s="11" t="s">
        <v>32</v>
      </c>
      <c r="B35" s="5">
        <f>+'2810'!H35</f>
        <v>40</v>
      </c>
      <c r="C35" s="5"/>
      <c r="D35" s="5" t="s">
        <v>18</v>
      </c>
      <c r="E35" s="14"/>
      <c r="F35" s="4"/>
      <c r="G35" s="4">
        <f t="shared" si="0"/>
        <v>0</v>
      </c>
      <c r="H35" s="5">
        <f t="shared" si="1"/>
        <v>40</v>
      </c>
    </row>
    <row r="36" spans="1:8" x14ac:dyDescent="0.25">
      <c r="A36" s="11" t="s">
        <v>76</v>
      </c>
      <c r="B36" s="5">
        <v>17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17</v>
      </c>
    </row>
    <row r="37" spans="1:8" x14ac:dyDescent="0.25">
      <c r="A37" s="11" t="s">
        <v>33</v>
      </c>
      <c r="B37" s="5">
        <f>+'2810'!H36</f>
        <v>60</v>
      </c>
      <c r="C37" s="5"/>
      <c r="D37" s="5" t="s">
        <v>18</v>
      </c>
      <c r="E37" s="14">
        <v>20</v>
      </c>
      <c r="F37" s="4"/>
      <c r="G37" s="4">
        <f t="shared" si="0"/>
        <v>0</v>
      </c>
      <c r="H37" s="5">
        <f t="shared" si="1"/>
        <v>40</v>
      </c>
    </row>
    <row r="38" spans="1:8" x14ac:dyDescent="0.25">
      <c r="A38" s="11" t="s">
        <v>34</v>
      </c>
      <c r="B38" s="5">
        <f>+'2810'!H37</f>
        <v>60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60</v>
      </c>
    </row>
    <row r="39" spans="1:8" x14ac:dyDescent="0.25">
      <c r="A39" s="11" t="s">
        <v>35</v>
      </c>
      <c r="B39" s="5">
        <f>+'2810'!H38</f>
        <v>100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100</v>
      </c>
    </row>
    <row r="40" spans="1:8" x14ac:dyDescent="0.25">
      <c r="A40" s="11" t="s">
        <v>36</v>
      </c>
      <c r="B40" s="5">
        <f>+'2810'!H39</f>
        <v>20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20</v>
      </c>
    </row>
    <row r="41" spans="1:8" x14ac:dyDescent="0.25">
      <c r="A41" s="11" t="s">
        <v>37</v>
      </c>
      <c r="B41" s="5">
        <f>+'2810'!H40</f>
        <v>20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20</v>
      </c>
    </row>
    <row r="42" spans="1:8" x14ac:dyDescent="0.25">
      <c r="A42" s="11" t="s">
        <v>38</v>
      </c>
      <c r="B42" s="5">
        <f>+'2810'!H41</f>
        <v>40</v>
      </c>
      <c r="C42" s="5"/>
      <c r="D42" s="5" t="s">
        <v>18</v>
      </c>
      <c r="E42" s="14"/>
      <c r="F42" s="4"/>
      <c r="G42" s="4">
        <f t="shared" si="0"/>
        <v>0</v>
      </c>
      <c r="H42" s="5">
        <f t="shared" si="1"/>
        <v>40</v>
      </c>
    </row>
    <row r="43" spans="1:8" x14ac:dyDescent="0.25">
      <c r="A43" s="11" t="s">
        <v>39</v>
      </c>
      <c r="B43" s="5">
        <f>+'2810'!H42</f>
        <v>100</v>
      </c>
      <c r="C43" s="5"/>
      <c r="D43" s="5" t="s">
        <v>18</v>
      </c>
      <c r="E43" s="14"/>
      <c r="F43" s="4"/>
      <c r="G43" s="4">
        <f t="shared" si="0"/>
        <v>0</v>
      </c>
      <c r="H43" s="5">
        <f t="shared" si="1"/>
        <v>100</v>
      </c>
    </row>
    <row r="44" spans="1:8" x14ac:dyDescent="0.25">
      <c r="A44" s="11" t="s">
        <v>40</v>
      </c>
      <c r="B44" s="5">
        <f>+'2810'!H43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41</v>
      </c>
      <c r="B45" s="5">
        <f>+'2810'!H44</f>
        <v>20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20</v>
      </c>
    </row>
    <row r="46" spans="1:8" x14ac:dyDescent="0.25">
      <c r="A46" s="11" t="s">
        <v>42</v>
      </c>
      <c r="B46" s="5">
        <f>+'2810'!H45</f>
        <v>160</v>
      </c>
      <c r="C46" s="5"/>
      <c r="D46" s="5" t="s">
        <v>18</v>
      </c>
      <c r="E46" s="14"/>
      <c r="F46" s="4"/>
      <c r="G46" s="4">
        <f t="shared" si="0"/>
        <v>0</v>
      </c>
      <c r="H46" s="5">
        <f t="shared" si="1"/>
        <v>160</v>
      </c>
    </row>
    <row r="47" spans="1:8" x14ac:dyDescent="0.25">
      <c r="A47" s="11" t="s">
        <v>43</v>
      </c>
      <c r="B47" s="5">
        <f>+'2810'!H46</f>
        <v>83</v>
      </c>
      <c r="C47" s="5"/>
      <c r="D47" s="5" t="s">
        <v>18</v>
      </c>
      <c r="E47" s="14"/>
      <c r="F47" s="4"/>
      <c r="G47" s="4">
        <f t="shared" si="0"/>
        <v>0</v>
      </c>
      <c r="H47" s="5">
        <f t="shared" si="1"/>
        <v>83</v>
      </c>
    </row>
    <row r="48" spans="1:8" x14ac:dyDescent="0.25">
      <c r="A48" s="11" t="s">
        <v>74</v>
      </c>
      <c r="B48" s="5">
        <f>+'2810'!H47</f>
        <v>60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60</v>
      </c>
    </row>
    <row r="49" spans="1:8" x14ac:dyDescent="0.25">
      <c r="A49" s="11" t="s">
        <v>44</v>
      </c>
      <c r="B49" s="5">
        <f>+'2810'!H48</f>
        <v>40</v>
      </c>
      <c r="C49" s="5"/>
      <c r="D49" s="5" t="s">
        <v>18</v>
      </c>
      <c r="E49" s="14"/>
      <c r="F49" s="4"/>
      <c r="G49" s="4">
        <f t="shared" si="0"/>
        <v>0</v>
      </c>
      <c r="H49" s="5">
        <f t="shared" si="1"/>
        <v>40</v>
      </c>
    </row>
    <row r="50" spans="1:8" x14ac:dyDescent="0.25">
      <c r="A50" s="11" t="s">
        <v>45</v>
      </c>
      <c r="B50" s="5">
        <f>+'2810'!H49</f>
        <v>120</v>
      </c>
      <c r="C50" s="5"/>
      <c r="D50" s="5" t="s">
        <v>18</v>
      </c>
      <c r="E50" s="14"/>
      <c r="F50" s="4"/>
      <c r="G50" s="4">
        <f t="shared" si="0"/>
        <v>0</v>
      </c>
      <c r="H50" s="5">
        <f t="shared" si="1"/>
        <v>120</v>
      </c>
    </row>
    <row r="51" spans="1:8" x14ac:dyDescent="0.25">
      <c r="A51" s="11" t="s">
        <v>46</v>
      </c>
      <c r="B51" s="5">
        <f>+'2810'!H50</f>
        <v>20</v>
      </c>
      <c r="C51" s="5"/>
      <c r="D51" s="5" t="s">
        <v>18</v>
      </c>
      <c r="E51" s="14"/>
      <c r="F51" s="4"/>
      <c r="G51" s="4">
        <f t="shared" si="0"/>
        <v>0</v>
      </c>
      <c r="H51" s="5">
        <f t="shared" si="1"/>
        <v>20</v>
      </c>
    </row>
    <row r="52" spans="1:8" x14ac:dyDescent="0.25">
      <c r="A52" s="11" t="s">
        <v>47</v>
      </c>
      <c r="B52" s="5">
        <f>+'2810'!H51</f>
        <v>199</v>
      </c>
      <c r="C52" s="5"/>
      <c r="D52" s="5" t="s">
        <v>18</v>
      </c>
      <c r="E52" s="14"/>
      <c r="F52" s="4"/>
      <c r="G52" s="4">
        <f t="shared" si="0"/>
        <v>0</v>
      </c>
      <c r="H52" s="5">
        <f t="shared" si="1"/>
        <v>199</v>
      </c>
    </row>
    <row r="53" spans="1:8" x14ac:dyDescent="0.25">
      <c r="A53" s="11" t="s">
        <v>72</v>
      </c>
      <c r="B53" s="5">
        <v>0</v>
      </c>
      <c r="C53" s="5"/>
      <c r="D53" s="5" t="s">
        <v>18</v>
      </c>
      <c r="E53" s="14"/>
      <c r="F53" s="4"/>
      <c r="G53" s="4">
        <f t="shared" si="0"/>
        <v>0</v>
      </c>
      <c r="H53" s="5">
        <f t="shared" si="1"/>
        <v>0</v>
      </c>
    </row>
    <row r="54" spans="1:8" x14ac:dyDescent="0.25">
      <c r="A54" s="11" t="s">
        <v>48</v>
      </c>
      <c r="B54" s="5">
        <f>+'2810'!H53</f>
        <v>80</v>
      </c>
      <c r="C54" s="5"/>
      <c r="D54" s="5" t="s">
        <v>18</v>
      </c>
      <c r="E54" s="14">
        <v>20</v>
      </c>
      <c r="F54" s="4"/>
      <c r="G54" s="4">
        <f t="shared" si="0"/>
        <v>0</v>
      </c>
      <c r="H54" s="5">
        <f t="shared" si="1"/>
        <v>60</v>
      </c>
    </row>
    <row r="55" spans="1:8" x14ac:dyDescent="0.25">
      <c r="A55" s="11" t="s">
        <v>75</v>
      </c>
      <c r="B55" s="5">
        <f>+'2810'!H54</f>
        <v>17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17</v>
      </c>
    </row>
    <row r="56" spans="1:8" x14ac:dyDescent="0.25">
      <c r="A56" s="11" t="s">
        <v>49</v>
      </c>
      <c r="B56" s="5">
        <f>+'2810'!H55</f>
        <v>180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180</v>
      </c>
    </row>
    <row r="57" spans="1:8" x14ac:dyDescent="0.25">
      <c r="A57" s="11" t="s">
        <v>50</v>
      </c>
      <c r="B57" s="5">
        <f>+'2810'!H56</f>
        <v>80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80</v>
      </c>
    </row>
    <row r="58" spans="1:8" x14ac:dyDescent="0.25">
      <c r="A58" s="11" t="s">
        <v>51</v>
      </c>
      <c r="B58" s="5">
        <f>+'2810'!H57</f>
        <v>20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20</v>
      </c>
    </row>
    <row r="59" spans="1:8" x14ac:dyDescent="0.25">
      <c r="A59" s="11" t="s">
        <v>52</v>
      </c>
      <c r="B59" s="5">
        <f>+'2810'!H58</f>
        <v>100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100</v>
      </c>
    </row>
    <row r="60" spans="1:8" x14ac:dyDescent="0.25">
      <c r="A60" s="11" t="s">
        <v>53</v>
      </c>
      <c r="B60" s="5">
        <f>+'2810'!H59</f>
        <v>40</v>
      </c>
      <c r="C60" s="5"/>
      <c r="D60" s="5" t="s">
        <v>18</v>
      </c>
      <c r="E60" s="14"/>
      <c r="F60" s="4"/>
      <c r="G60" s="4">
        <f t="shared" si="0"/>
        <v>0</v>
      </c>
      <c r="H60" s="5">
        <f t="shared" si="1"/>
        <v>40</v>
      </c>
    </row>
    <row r="61" spans="1:8" x14ac:dyDescent="0.25">
      <c r="A61" s="11" t="s">
        <v>54</v>
      </c>
      <c r="B61" s="5">
        <f>+'2810'!H60</f>
        <v>60</v>
      </c>
      <c r="C61" s="5"/>
      <c r="D61" s="5" t="s">
        <v>18</v>
      </c>
      <c r="E61" s="14"/>
      <c r="F61" s="4"/>
      <c r="G61" s="4">
        <f t="shared" si="0"/>
        <v>0</v>
      </c>
      <c r="H61" s="5">
        <f t="shared" si="1"/>
        <v>60</v>
      </c>
    </row>
    <row r="62" spans="1:8" x14ac:dyDescent="0.25">
      <c r="A62" s="11" t="s">
        <v>55</v>
      </c>
      <c r="B62" s="5">
        <f>+'2810'!H61</f>
        <v>100</v>
      </c>
      <c r="C62" s="5"/>
      <c r="D62" s="5" t="s">
        <v>18</v>
      </c>
      <c r="E62" s="14"/>
      <c r="F62" s="4"/>
      <c r="G62" s="4">
        <f t="shared" si="0"/>
        <v>0</v>
      </c>
      <c r="H62" s="5">
        <f t="shared" si="1"/>
        <v>100</v>
      </c>
    </row>
    <row r="63" spans="1:8" x14ac:dyDescent="0.25">
      <c r="A63" s="11" t="s">
        <v>56</v>
      </c>
      <c r="B63" s="5">
        <f>+'2810'!H62</f>
        <v>20</v>
      </c>
      <c r="C63" s="5"/>
      <c r="D63" s="5" t="s">
        <v>18</v>
      </c>
      <c r="E63" s="14"/>
      <c r="F63" s="4"/>
      <c r="G63" s="4">
        <f t="shared" si="0"/>
        <v>0</v>
      </c>
      <c r="H63" s="5">
        <f t="shared" si="1"/>
        <v>20</v>
      </c>
    </row>
    <row r="64" spans="1:8" x14ac:dyDescent="0.25">
      <c r="A64" s="11" t="s">
        <v>57</v>
      </c>
      <c r="B64" s="5">
        <f>+'2810'!H63</f>
        <v>80</v>
      </c>
      <c r="C64" s="5"/>
      <c r="D64" s="5" t="s">
        <v>18</v>
      </c>
      <c r="E64" s="14"/>
      <c r="F64" s="4"/>
      <c r="G64" s="4">
        <f t="shared" si="0"/>
        <v>0</v>
      </c>
      <c r="H64" s="5">
        <f t="shared" si="1"/>
        <v>80</v>
      </c>
    </row>
    <row r="65" spans="1:8" x14ac:dyDescent="0.25">
      <c r="A65" s="11" t="s">
        <v>58</v>
      </c>
      <c r="B65" s="5">
        <f>+'2810'!H64</f>
        <v>125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125</v>
      </c>
    </row>
    <row r="66" spans="1:8" x14ac:dyDescent="0.25">
      <c r="A66" s="11" t="s">
        <v>71</v>
      </c>
      <c r="B66" s="5">
        <f>+'2810'!H65</f>
        <v>34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34</v>
      </c>
    </row>
    <row r="67" spans="1:8" x14ac:dyDescent="0.25">
      <c r="A67" s="11" t="s">
        <v>59</v>
      </c>
      <c r="B67" s="5">
        <f>+'2810'!H66</f>
        <v>40</v>
      </c>
      <c r="C67" s="5"/>
      <c r="D67" s="5" t="s">
        <v>18</v>
      </c>
      <c r="E67" s="14"/>
      <c r="F67" s="4"/>
      <c r="G67" s="4">
        <f t="shared" si="0"/>
        <v>0</v>
      </c>
      <c r="H67" s="5">
        <f t="shared" si="1"/>
        <v>40</v>
      </c>
    </row>
    <row r="68" spans="1:8" x14ac:dyDescent="0.25">
      <c r="A68" s="11"/>
      <c r="B68" s="5">
        <f>+'2810'!H67</f>
        <v>0</v>
      </c>
      <c r="C68" s="5"/>
      <c r="D68" s="5" t="s">
        <v>18</v>
      </c>
      <c r="E68" s="14"/>
      <c r="F68" s="4"/>
      <c r="G68" s="4">
        <f t="shared" si="0"/>
        <v>0</v>
      </c>
      <c r="H68" s="5">
        <f t="shared" si="1"/>
        <v>0</v>
      </c>
    </row>
    <row r="69" spans="1:8" x14ac:dyDescent="0.25">
      <c r="A69" s="3"/>
      <c r="B69" s="5">
        <f>+'2810'!H68</f>
        <v>0</v>
      </c>
      <c r="C69" s="5"/>
      <c r="D69" s="5" t="s">
        <v>18</v>
      </c>
      <c r="E69" s="14"/>
      <c r="F69" s="4"/>
      <c r="G69" s="4">
        <f t="shared" si="0"/>
        <v>0</v>
      </c>
      <c r="H69" s="5">
        <f t="shared" si="1"/>
        <v>0</v>
      </c>
    </row>
    <row r="70" spans="1:8" ht="18.75" x14ac:dyDescent="0.3">
      <c r="A70" s="7" t="s">
        <v>2</v>
      </c>
      <c r="B70" s="7"/>
      <c r="C70" s="7"/>
      <c r="D70" s="7"/>
      <c r="E70" s="8"/>
      <c r="F70" s="8"/>
      <c r="G70" s="8"/>
      <c r="H70" s="8"/>
    </row>
  </sheetData>
  <mergeCells count="2">
    <mergeCell ref="A2:A3"/>
    <mergeCell ref="B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4"/>
  <sheetViews>
    <sheetView topLeftCell="A7" workbookViewId="0">
      <selection activeCell="H29" sqref="H29:H73"/>
    </sheetView>
  </sheetViews>
  <sheetFormatPr baseColWidth="10" defaultRowHeight="15" x14ac:dyDescent="0.25"/>
  <cols>
    <col min="1" max="1" width="19.85546875" customWidth="1"/>
  </cols>
  <sheetData>
    <row r="2" spans="1:8" ht="15.75" x14ac:dyDescent="0.25">
      <c r="A2" s="27" t="s">
        <v>1</v>
      </c>
      <c r="B2" s="31">
        <v>45960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+'2910'!H4</f>
        <v>38</v>
      </c>
      <c r="C4" s="5"/>
      <c r="D4" s="5" t="s">
        <v>21</v>
      </c>
      <c r="E4" s="14">
        <v>6</v>
      </c>
      <c r="F4" s="4">
        <v>230.62</v>
      </c>
      <c r="G4" s="4">
        <f>E4*F4</f>
        <v>1383.72</v>
      </c>
      <c r="H4" s="5">
        <f>B4-E4</f>
        <v>32</v>
      </c>
    </row>
    <row r="5" spans="1:8" x14ac:dyDescent="0.25">
      <c r="A5" s="12" t="s">
        <v>6</v>
      </c>
      <c r="B5" s="5">
        <f>+'2910'!H5</f>
        <v>66</v>
      </c>
      <c r="C5" s="5"/>
      <c r="D5" s="5" t="s">
        <v>21</v>
      </c>
      <c r="E5" s="14">
        <v>5</v>
      </c>
      <c r="F5" s="4">
        <v>91.2</v>
      </c>
      <c r="G5" s="4">
        <f t="shared" ref="G5:G73" si="0">E5*F5</f>
        <v>456</v>
      </c>
      <c r="H5" s="5">
        <f t="shared" ref="H5:H73" si="1">B5-E5</f>
        <v>61</v>
      </c>
    </row>
    <row r="6" spans="1:8" x14ac:dyDescent="0.25">
      <c r="A6" s="12" t="s">
        <v>7</v>
      </c>
      <c r="B6" s="5">
        <f>+'2910'!H6</f>
        <v>219</v>
      </c>
      <c r="C6" s="5"/>
      <c r="D6" s="5" t="s">
        <v>21</v>
      </c>
      <c r="E6" s="14">
        <v>3</v>
      </c>
      <c r="F6" s="4">
        <v>3500</v>
      </c>
      <c r="G6" s="4">
        <f t="shared" si="0"/>
        <v>10500</v>
      </c>
      <c r="H6" s="5">
        <f t="shared" si="1"/>
        <v>216</v>
      </c>
    </row>
    <row r="7" spans="1:8" x14ac:dyDescent="0.25">
      <c r="A7" s="12" t="s">
        <v>8</v>
      </c>
      <c r="B7" s="5">
        <f>+'2910'!H7</f>
        <v>14</v>
      </c>
      <c r="C7" s="5"/>
      <c r="D7" s="5" t="s">
        <v>21</v>
      </c>
      <c r="E7" s="14">
        <v>3</v>
      </c>
      <c r="F7" s="4">
        <v>3300</v>
      </c>
      <c r="G7" s="4">
        <f t="shared" si="0"/>
        <v>9900</v>
      </c>
      <c r="H7" s="5">
        <f t="shared" si="1"/>
        <v>11</v>
      </c>
    </row>
    <row r="8" spans="1:8" x14ac:dyDescent="0.25">
      <c r="A8" s="12" t="s">
        <v>9</v>
      </c>
      <c r="B8" s="5">
        <f>+'2910'!H8</f>
        <v>48</v>
      </c>
      <c r="C8" s="5"/>
      <c r="D8" s="5" t="s">
        <v>21</v>
      </c>
      <c r="E8" s="14"/>
      <c r="F8" s="4">
        <v>1554.62</v>
      </c>
      <c r="G8" s="4">
        <f t="shared" si="0"/>
        <v>0</v>
      </c>
      <c r="H8" s="5">
        <f t="shared" si="1"/>
        <v>48</v>
      </c>
    </row>
    <row r="9" spans="1:8" x14ac:dyDescent="0.25">
      <c r="A9" s="12" t="s">
        <v>10</v>
      </c>
      <c r="B9" s="5">
        <f>+'2910'!H9</f>
        <v>2348</v>
      </c>
      <c r="C9" s="5"/>
      <c r="D9" s="5" t="s">
        <v>18</v>
      </c>
      <c r="E9" s="14"/>
      <c r="F9" s="4">
        <v>210</v>
      </c>
      <c r="G9" s="4">
        <f t="shared" si="0"/>
        <v>0</v>
      </c>
      <c r="H9" s="5">
        <f t="shared" si="1"/>
        <v>2348</v>
      </c>
    </row>
    <row r="10" spans="1:8" x14ac:dyDescent="0.25">
      <c r="A10" s="12" t="s">
        <v>23</v>
      </c>
      <c r="B10" s="5">
        <f>+'2910'!H10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+'2910'!H11</f>
        <v>1170</v>
      </c>
      <c r="C11" s="5"/>
      <c r="D11" s="5" t="s">
        <v>18</v>
      </c>
      <c r="E11" s="14">
        <v>60</v>
      </c>
      <c r="F11" s="4">
        <v>290</v>
      </c>
      <c r="G11" s="4">
        <f t="shared" si="0"/>
        <v>17400</v>
      </c>
      <c r="H11" s="5">
        <f>B11-E11</f>
        <v>1110</v>
      </c>
    </row>
    <row r="12" spans="1:8" x14ac:dyDescent="0.25">
      <c r="A12" s="12" t="s">
        <v>12</v>
      </c>
      <c r="B12" s="5">
        <f>+'2910'!H12</f>
        <v>2725</v>
      </c>
      <c r="C12" s="5"/>
      <c r="D12" s="5" t="s">
        <v>18</v>
      </c>
      <c r="E12" s="14"/>
      <c r="F12" s="4">
        <v>49.5</v>
      </c>
      <c r="G12" s="4">
        <f t="shared" si="0"/>
        <v>0</v>
      </c>
      <c r="H12" s="5">
        <f t="shared" si="1"/>
        <v>2725</v>
      </c>
    </row>
    <row r="13" spans="1:8" x14ac:dyDescent="0.25">
      <c r="A13" s="12" t="s">
        <v>13</v>
      </c>
      <c r="B13" s="5">
        <f>+'2910'!H13</f>
        <v>400</v>
      </c>
      <c r="C13" s="5"/>
      <c r="D13" s="5" t="s">
        <v>18</v>
      </c>
      <c r="E13" s="14"/>
      <c r="F13" s="4">
        <v>285</v>
      </c>
      <c r="G13" s="4">
        <f t="shared" si="0"/>
        <v>0</v>
      </c>
      <c r="H13" s="5">
        <f t="shared" si="1"/>
        <v>400</v>
      </c>
    </row>
    <row r="14" spans="1:8" x14ac:dyDescent="0.25">
      <c r="A14" s="12" t="s">
        <v>14</v>
      </c>
      <c r="B14" s="5">
        <f>+'2910'!H14</f>
        <v>59275</v>
      </c>
      <c r="C14" s="5"/>
      <c r="D14" s="5" t="s">
        <v>18</v>
      </c>
      <c r="E14" s="14">
        <f>30*25</f>
        <v>750</v>
      </c>
      <c r="F14" s="4">
        <v>93</v>
      </c>
      <c r="G14" s="4">
        <f t="shared" si="0"/>
        <v>69750</v>
      </c>
      <c r="H14" s="5">
        <f>B14-E14</f>
        <v>58525</v>
      </c>
    </row>
    <row r="15" spans="1:8" x14ac:dyDescent="0.25">
      <c r="A15" s="12" t="s">
        <v>15</v>
      </c>
      <c r="B15" s="5">
        <f>+'2910'!H15</f>
        <v>2286</v>
      </c>
      <c r="C15" s="5"/>
      <c r="D15" s="5" t="s">
        <v>18</v>
      </c>
      <c r="E15" s="14">
        <v>56</v>
      </c>
      <c r="F15" s="4">
        <v>67.23</v>
      </c>
      <c r="G15" s="4">
        <f t="shared" si="0"/>
        <v>3764.88</v>
      </c>
      <c r="H15" s="5">
        <f t="shared" si="1"/>
        <v>2230</v>
      </c>
    </row>
    <row r="16" spans="1:8" x14ac:dyDescent="0.25">
      <c r="A16" s="12" t="s">
        <v>16</v>
      </c>
      <c r="B16" s="5">
        <f>+'2910'!H16</f>
        <v>325</v>
      </c>
      <c r="C16" s="5"/>
      <c r="D16" s="5" t="s">
        <v>18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+'2910'!H17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f>+'2910'!H18</f>
        <v>1547.223</v>
      </c>
      <c r="C18" s="5"/>
      <c r="D18" s="5" t="s">
        <v>18</v>
      </c>
      <c r="E18" s="13">
        <v>12.53</v>
      </c>
      <c r="F18" s="10">
        <v>877.28</v>
      </c>
      <c r="G18" s="10">
        <f t="shared" si="0"/>
        <v>10992.318399999998</v>
      </c>
      <c r="H18" s="5">
        <f t="shared" si="1"/>
        <v>1534.693</v>
      </c>
    </row>
    <row r="19" spans="1:8" x14ac:dyDescent="0.25">
      <c r="A19" s="13" t="s">
        <v>61</v>
      </c>
      <c r="B19" s="5">
        <f>+'2910'!H19</f>
        <v>352.08100000000002</v>
      </c>
      <c r="C19" s="5"/>
      <c r="D19" s="5" t="s">
        <v>18</v>
      </c>
      <c r="E19" s="13">
        <v>7.11</v>
      </c>
      <c r="F19" s="10">
        <v>601.1</v>
      </c>
      <c r="G19" s="10">
        <f t="shared" si="0"/>
        <v>4273.8209999999999</v>
      </c>
      <c r="H19" s="5">
        <f t="shared" si="1"/>
        <v>344.971</v>
      </c>
    </row>
    <row r="20" spans="1:8" x14ac:dyDescent="0.25">
      <c r="A20" s="13" t="s">
        <v>62</v>
      </c>
      <c r="B20" s="5">
        <f>+'2910'!H20</f>
        <v>990.5</v>
      </c>
      <c r="C20" s="5"/>
      <c r="D20" s="5" t="s">
        <v>18</v>
      </c>
      <c r="E20" s="13">
        <v>0.28000000000000003</v>
      </c>
      <c r="F20" s="10">
        <v>568.61</v>
      </c>
      <c r="G20" s="10">
        <f t="shared" si="0"/>
        <v>159.21080000000001</v>
      </c>
      <c r="H20" s="5">
        <f t="shared" si="1"/>
        <v>990.22</v>
      </c>
    </row>
    <row r="21" spans="1:8" x14ac:dyDescent="0.25">
      <c r="A21" s="13" t="s">
        <v>63</v>
      </c>
      <c r="B21" s="5">
        <f>+'2910'!H21</f>
        <v>2462.7689999999998</v>
      </c>
      <c r="C21" s="5"/>
      <c r="D21" s="5" t="s">
        <v>18</v>
      </c>
      <c r="E21" s="13">
        <v>0.4</v>
      </c>
      <c r="F21" s="10">
        <v>333.04</v>
      </c>
      <c r="G21" s="10">
        <f t="shared" si="0"/>
        <v>133.21600000000001</v>
      </c>
      <c r="H21" s="5">
        <f t="shared" si="1"/>
        <v>2462.3689999999997</v>
      </c>
    </row>
    <row r="22" spans="1:8" x14ac:dyDescent="0.25">
      <c r="A22" s="13" t="s">
        <v>64</v>
      </c>
      <c r="B22" s="5">
        <f>+'2910'!H22</f>
        <v>1277.25</v>
      </c>
      <c r="C22" s="5"/>
      <c r="D22" s="5" t="s">
        <v>18</v>
      </c>
      <c r="E22" s="13">
        <v>14.72</v>
      </c>
      <c r="F22" s="10">
        <v>714.82</v>
      </c>
      <c r="G22" s="10">
        <f t="shared" si="0"/>
        <v>10522.1504</v>
      </c>
      <c r="H22" s="5">
        <f t="shared" si="1"/>
        <v>1262.53</v>
      </c>
    </row>
    <row r="23" spans="1:8" x14ac:dyDescent="0.25">
      <c r="A23" s="13" t="s">
        <v>65</v>
      </c>
      <c r="B23" s="5">
        <f>+'2910'!H23</f>
        <v>230</v>
      </c>
      <c r="C23" s="5"/>
      <c r="D23" s="5" t="s">
        <v>18</v>
      </c>
      <c r="E23" s="13"/>
      <c r="F23" s="10">
        <v>487.38</v>
      </c>
      <c r="G23" s="10">
        <f t="shared" si="0"/>
        <v>0</v>
      </c>
      <c r="H23" s="5">
        <f t="shared" si="1"/>
        <v>230</v>
      </c>
    </row>
    <row r="24" spans="1:8" x14ac:dyDescent="0.25">
      <c r="A24" s="13" t="s">
        <v>66</v>
      </c>
      <c r="B24" s="5">
        <f>+'2910'!H24</f>
        <v>975.04200000000003</v>
      </c>
      <c r="C24" s="5"/>
      <c r="D24" s="5" t="s">
        <v>18</v>
      </c>
      <c r="E24" s="13">
        <v>0.39</v>
      </c>
      <c r="F24" s="10">
        <v>844.79</v>
      </c>
      <c r="G24" s="10">
        <f t="shared" si="0"/>
        <v>329.46809999999999</v>
      </c>
      <c r="H24" s="5">
        <f t="shared" si="1"/>
        <v>974.65200000000004</v>
      </c>
    </row>
    <row r="25" spans="1:8" x14ac:dyDescent="0.25">
      <c r="A25" s="13" t="s">
        <v>67</v>
      </c>
      <c r="B25" s="5">
        <f>+'2910'!H25</f>
        <v>1104</v>
      </c>
      <c r="C25" s="5"/>
      <c r="D25" s="5" t="s">
        <v>18</v>
      </c>
      <c r="E25" s="13"/>
      <c r="F25" s="10">
        <v>901.65</v>
      </c>
      <c r="G25" s="10">
        <f t="shared" si="0"/>
        <v>0</v>
      </c>
      <c r="H25" s="5">
        <f t="shared" si="1"/>
        <v>1104</v>
      </c>
    </row>
    <row r="26" spans="1:8" x14ac:dyDescent="0.25">
      <c r="A26" s="13" t="s">
        <v>68</v>
      </c>
      <c r="B26" s="5">
        <f>+'2910'!H26</f>
        <v>235.01999999999998</v>
      </c>
      <c r="C26" s="5"/>
      <c r="D26" s="5" t="s">
        <v>18</v>
      </c>
      <c r="E26" s="13">
        <v>5.98</v>
      </c>
      <c r="F26" s="10">
        <v>877.28</v>
      </c>
      <c r="G26" s="10">
        <f t="shared" si="0"/>
        <v>5246.1343999999999</v>
      </c>
      <c r="H26" s="5">
        <f t="shared" si="1"/>
        <v>229.04</v>
      </c>
    </row>
    <row r="27" spans="1:8" x14ac:dyDescent="0.25">
      <c r="A27" s="13" t="s">
        <v>69</v>
      </c>
      <c r="B27" s="5">
        <f>+'2910'!H27</f>
        <v>1061.01</v>
      </c>
      <c r="C27" s="5"/>
      <c r="D27" s="5" t="s">
        <v>18</v>
      </c>
      <c r="E27" s="13">
        <v>91.2</v>
      </c>
      <c r="F27" s="10">
        <v>300.55</v>
      </c>
      <c r="G27" s="10">
        <f t="shared" si="0"/>
        <v>27410.160000000003</v>
      </c>
      <c r="H27" s="5">
        <f t="shared" si="1"/>
        <v>969.81</v>
      </c>
    </row>
    <row r="28" spans="1:8" x14ac:dyDescent="0.25">
      <c r="A28" s="13" t="s">
        <v>70</v>
      </c>
      <c r="B28" s="5">
        <f>+'2910'!H28</f>
        <v>14832.420999999998</v>
      </c>
      <c r="C28" s="5"/>
      <c r="D28" s="5" t="s">
        <v>18</v>
      </c>
      <c r="E28" s="13">
        <v>16.55</v>
      </c>
      <c r="F28" s="10">
        <v>178.7</v>
      </c>
      <c r="G28" s="10">
        <f t="shared" si="0"/>
        <v>2957.4850000000001</v>
      </c>
      <c r="H28" s="5">
        <f t="shared" si="1"/>
        <v>14815.870999999999</v>
      </c>
    </row>
    <row r="29" spans="1:8" x14ac:dyDescent="0.25">
      <c r="A29" s="11" t="s">
        <v>27</v>
      </c>
      <c r="B29" s="5">
        <f>+'2910'!H29</f>
        <v>19</v>
      </c>
      <c r="C29" s="5"/>
      <c r="D29" s="5" t="s">
        <v>18</v>
      </c>
      <c r="E29" s="14"/>
      <c r="F29" s="4"/>
      <c r="G29" s="4">
        <f t="shared" si="0"/>
        <v>0</v>
      </c>
      <c r="H29" s="5">
        <f t="shared" si="1"/>
        <v>19</v>
      </c>
    </row>
    <row r="30" spans="1:8" x14ac:dyDescent="0.25">
      <c r="A30" s="11" t="s">
        <v>80</v>
      </c>
      <c r="B30" s="5">
        <v>20</v>
      </c>
      <c r="C30" s="5"/>
      <c r="D30" s="5" t="s">
        <v>18</v>
      </c>
      <c r="E30" s="14">
        <v>20</v>
      </c>
      <c r="F30" s="4"/>
      <c r="G30" s="4">
        <f t="shared" ref="G30" si="2">E30*F30</f>
        <v>0</v>
      </c>
      <c r="H30" s="5">
        <f t="shared" ref="H30" si="3">B30-E30</f>
        <v>0</v>
      </c>
    </row>
    <row r="31" spans="1:8" x14ac:dyDescent="0.25">
      <c r="A31" s="11" t="s">
        <v>28</v>
      </c>
      <c r="B31" s="5">
        <f>+'2910'!H30</f>
        <v>0</v>
      </c>
      <c r="C31" s="5"/>
      <c r="D31" s="5" t="s">
        <v>18</v>
      </c>
      <c r="E31" s="14"/>
      <c r="F31" s="4"/>
      <c r="G31" s="4">
        <f t="shared" si="0"/>
        <v>0</v>
      </c>
      <c r="H31" s="5">
        <f t="shared" si="1"/>
        <v>0</v>
      </c>
    </row>
    <row r="32" spans="1:8" x14ac:dyDescent="0.25">
      <c r="A32" s="11" t="s">
        <v>79</v>
      </c>
      <c r="B32" s="5">
        <v>40</v>
      </c>
      <c r="C32" s="5"/>
      <c r="D32" s="5" t="s">
        <v>18</v>
      </c>
      <c r="E32" s="14"/>
      <c r="F32" s="4"/>
      <c r="G32" s="4">
        <f t="shared" ref="G32" si="4">E32*F32</f>
        <v>0</v>
      </c>
      <c r="H32" s="5">
        <f t="shared" ref="H32" si="5">B32-E32</f>
        <v>40</v>
      </c>
    </row>
    <row r="33" spans="1:8" x14ac:dyDescent="0.25">
      <c r="A33" s="11" t="s">
        <v>73</v>
      </c>
      <c r="B33" s="5">
        <f>+'2910'!H31</f>
        <v>100</v>
      </c>
      <c r="C33" s="5"/>
      <c r="D33" s="5" t="s">
        <v>18</v>
      </c>
      <c r="E33" s="14"/>
      <c r="F33" s="4"/>
      <c r="G33" s="4">
        <f t="shared" si="0"/>
        <v>0</v>
      </c>
      <c r="H33" s="5">
        <f t="shared" si="1"/>
        <v>100</v>
      </c>
    </row>
    <row r="34" spans="1:8" x14ac:dyDescent="0.25">
      <c r="A34" s="11" t="s">
        <v>29</v>
      </c>
      <c r="B34" s="5">
        <f>+'2910'!H32</f>
        <v>60</v>
      </c>
      <c r="C34" s="5"/>
      <c r="D34" s="5" t="s">
        <v>18</v>
      </c>
      <c r="E34" s="14"/>
      <c r="F34" s="4"/>
      <c r="G34" s="4">
        <f t="shared" si="0"/>
        <v>0</v>
      </c>
      <c r="H34" s="5">
        <f t="shared" si="1"/>
        <v>60</v>
      </c>
    </row>
    <row r="35" spans="1:8" x14ac:dyDescent="0.25">
      <c r="A35" s="11" t="s">
        <v>30</v>
      </c>
      <c r="B35" s="5">
        <f>+'2910'!H33</f>
        <v>149</v>
      </c>
      <c r="C35" s="5"/>
      <c r="D35" s="5" t="s">
        <v>18</v>
      </c>
      <c r="E35" s="14">
        <v>17</v>
      </c>
      <c r="F35" s="4"/>
      <c r="G35" s="4">
        <f t="shared" si="0"/>
        <v>0</v>
      </c>
      <c r="H35" s="5">
        <f t="shared" si="1"/>
        <v>132</v>
      </c>
    </row>
    <row r="36" spans="1:8" x14ac:dyDescent="0.25">
      <c r="A36" s="11" t="s">
        <v>77</v>
      </c>
      <c r="B36" s="5">
        <v>60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60</v>
      </c>
    </row>
    <row r="37" spans="1:8" x14ac:dyDescent="0.25">
      <c r="A37" s="11" t="s">
        <v>31</v>
      </c>
      <c r="B37" s="5">
        <f>+'2910'!H34</f>
        <v>0</v>
      </c>
      <c r="C37" s="5"/>
      <c r="D37" s="5" t="s">
        <v>18</v>
      </c>
      <c r="E37" s="14"/>
      <c r="F37" s="4"/>
      <c r="G37" s="4">
        <f t="shared" si="0"/>
        <v>0</v>
      </c>
      <c r="H37" s="5">
        <f t="shared" si="1"/>
        <v>0</v>
      </c>
    </row>
    <row r="38" spans="1:8" x14ac:dyDescent="0.25">
      <c r="A38" s="11" t="s">
        <v>32</v>
      </c>
      <c r="B38" s="5">
        <f>+'2910'!H35</f>
        <v>40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40</v>
      </c>
    </row>
    <row r="39" spans="1:8" x14ac:dyDescent="0.25">
      <c r="A39" s="11" t="s">
        <v>76</v>
      </c>
      <c r="B39" s="5">
        <f>+'2910'!H36</f>
        <v>17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17</v>
      </c>
    </row>
    <row r="40" spans="1:8" x14ac:dyDescent="0.25">
      <c r="A40" s="11" t="s">
        <v>33</v>
      </c>
      <c r="B40" s="5">
        <f>+'2910'!H37</f>
        <v>40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40</v>
      </c>
    </row>
    <row r="41" spans="1:8" x14ac:dyDescent="0.25">
      <c r="A41" s="11" t="s">
        <v>34</v>
      </c>
      <c r="B41" s="5">
        <f>+'2910'!H38</f>
        <v>60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60</v>
      </c>
    </row>
    <row r="42" spans="1:8" x14ac:dyDescent="0.25">
      <c r="A42" s="11" t="s">
        <v>35</v>
      </c>
      <c r="B42" s="5">
        <f>+'2910'!H39</f>
        <v>100</v>
      </c>
      <c r="C42" s="5"/>
      <c r="D42" s="5" t="s">
        <v>18</v>
      </c>
      <c r="E42" s="14"/>
      <c r="F42" s="4"/>
      <c r="G42" s="4">
        <f t="shared" si="0"/>
        <v>0</v>
      </c>
      <c r="H42" s="5">
        <f t="shared" si="1"/>
        <v>100</v>
      </c>
    </row>
    <row r="43" spans="1:8" x14ac:dyDescent="0.25">
      <c r="A43" s="11" t="s">
        <v>36</v>
      </c>
      <c r="B43" s="5">
        <f>+'2910'!H40</f>
        <v>20</v>
      </c>
      <c r="C43" s="5"/>
      <c r="D43" s="5" t="s">
        <v>18</v>
      </c>
      <c r="E43" s="14"/>
      <c r="F43" s="4"/>
      <c r="G43" s="4">
        <f t="shared" si="0"/>
        <v>0</v>
      </c>
      <c r="H43" s="5">
        <f t="shared" si="1"/>
        <v>20</v>
      </c>
    </row>
    <row r="44" spans="1:8" x14ac:dyDescent="0.25">
      <c r="A44" s="11" t="s">
        <v>37</v>
      </c>
      <c r="B44" s="5">
        <f>+'2910'!H41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38</v>
      </c>
      <c r="B45" s="5">
        <f>+'2910'!H42</f>
        <v>40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40</v>
      </c>
    </row>
    <row r="46" spans="1:8" x14ac:dyDescent="0.25">
      <c r="A46" s="11" t="s">
        <v>39</v>
      </c>
      <c r="B46" s="5">
        <f>+'2910'!H43</f>
        <v>100</v>
      </c>
      <c r="C46" s="5"/>
      <c r="D46" s="5" t="s">
        <v>18</v>
      </c>
      <c r="E46" s="14"/>
      <c r="F46" s="4"/>
      <c r="G46" s="4">
        <f t="shared" si="0"/>
        <v>0</v>
      </c>
      <c r="H46" s="5">
        <f t="shared" si="1"/>
        <v>100</v>
      </c>
    </row>
    <row r="47" spans="1:8" x14ac:dyDescent="0.25">
      <c r="A47" s="11" t="s">
        <v>40</v>
      </c>
      <c r="B47" s="5">
        <f>+'2910'!H44</f>
        <v>20</v>
      </c>
      <c r="C47" s="5"/>
      <c r="D47" s="5" t="s">
        <v>18</v>
      </c>
      <c r="E47" s="14"/>
      <c r="F47" s="4"/>
      <c r="G47" s="4">
        <f t="shared" si="0"/>
        <v>0</v>
      </c>
      <c r="H47" s="5">
        <f t="shared" si="1"/>
        <v>20</v>
      </c>
    </row>
    <row r="48" spans="1:8" x14ac:dyDescent="0.25">
      <c r="A48" s="11" t="s">
        <v>41</v>
      </c>
      <c r="B48" s="5">
        <f>+'2910'!H45</f>
        <v>20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20</v>
      </c>
    </row>
    <row r="49" spans="1:8" x14ac:dyDescent="0.25">
      <c r="A49" s="11" t="s">
        <v>42</v>
      </c>
      <c r="B49" s="5">
        <f>+'2910'!H46</f>
        <v>160</v>
      </c>
      <c r="C49" s="5"/>
      <c r="D49" s="5" t="s">
        <v>18</v>
      </c>
      <c r="E49" s="14"/>
      <c r="F49" s="4"/>
      <c r="G49" s="4">
        <f t="shared" si="0"/>
        <v>0</v>
      </c>
      <c r="H49" s="5">
        <f t="shared" si="1"/>
        <v>160</v>
      </c>
    </row>
    <row r="50" spans="1:8" x14ac:dyDescent="0.25">
      <c r="A50" s="11" t="s">
        <v>43</v>
      </c>
      <c r="B50" s="5">
        <f>+'2910'!H47</f>
        <v>83</v>
      </c>
      <c r="C50" s="5"/>
      <c r="D50" s="5" t="s">
        <v>18</v>
      </c>
      <c r="E50" s="14"/>
      <c r="F50" s="4"/>
      <c r="G50" s="4">
        <f t="shared" si="0"/>
        <v>0</v>
      </c>
      <c r="H50" s="5">
        <f t="shared" si="1"/>
        <v>83</v>
      </c>
    </row>
    <row r="51" spans="1:8" x14ac:dyDescent="0.25">
      <c r="A51" s="11" t="s">
        <v>74</v>
      </c>
      <c r="B51" s="5">
        <f>+'2910'!H48</f>
        <v>60</v>
      </c>
      <c r="C51" s="5"/>
      <c r="D51" s="5" t="s">
        <v>18</v>
      </c>
      <c r="E51" s="14"/>
      <c r="F51" s="4"/>
      <c r="G51" s="4">
        <f t="shared" si="0"/>
        <v>0</v>
      </c>
      <c r="H51" s="5">
        <f t="shared" si="1"/>
        <v>60</v>
      </c>
    </row>
    <row r="52" spans="1:8" x14ac:dyDescent="0.25">
      <c r="A52" s="11" t="s">
        <v>78</v>
      </c>
      <c r="B52" s="5">
        <f>+'2910'!H49</f>
        <v>40</v>
      </c>
      <c r="C52" s="5"/>
      <c r="D52" s="5" t="s">
        <v>18</v>
      </c>
      <c r="E52" s="14"/>
      <c r="F52" s="4"/>
      <c r="G52" s="4">
        <f t="shared" ref="G52" si="6">E52*F52</f>
        <v>0</v>
      </c>
      <c r="H52" s="5">
        <f t="shared" ref="H52" si="7">B52-E52</f>
        <v>40</v>
      </c>
    </row>
    <row r="53" spans="1:8" x14ac:dyDescent="0.25">
      <c r="A53" s="11" t="s">
        <v>44</v>
      </c>
      <c r="B53" s="5">
        <f>+'2910'!H49</f>
        <v>40</v>
      </c>
      <c r="C53" s="5"/>
      <c r="D53" s="5" t="s">
        <v>18</v>
      </c>
      <c r="E53" s="14"/>
      <c r="F53" s="4"/>
      <c r="G53" s="4">
        <f t="shared" si="0"/>
        <v>0</v>
      </c>
      <c r="H53" s="5">
        <f t="shared" si="1"/>
        <v>40</v>
      </c>
    </row>
    <row r="54" spans="1:8" x14ac:dyDescent="0.25">
      <c r="A54" s="11" t="s">
        <v>45</v>
      </c>
      <c r="B54" s="5">
        <f>+'2910'!H50</f>
        <v>120</v>
      </c>
      <c r="C54" s="5"/>
      <c r="D54" s="5" t="s">
        <v>18</v>
      </c>
      <c r="E54" s="14"/>
      <c r="F54" s="4"/>
      <c r="G54" s="4">
        <f t="shared" si="0"/>
        <v>0</v>
      </c>
      <c r="H54" s="5">
        <f t="shared" si="1"/>
        <v>120</v>
      </c>
    </row>
    <row r="55" spans="1:8" x14ac:dyDescent="0.25">
      <c r="A55" s="11" t="s">
        <v>46</v>
      </c>
      <c r="B55" s="5">
        <f>+'2910'!H51</f>
        <v>20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20</v>
      </c>
    </row>
    <row r="56" spans="1:8" x14ac:dyDescent="0.25">
      <c r="A56" s="11" t="s">
        <v>47</v>
      </c>
      <c r="B56" s="5">
        <f>+'2910'!H52</f>
        <v>199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199</v>
      </c>
    </row>
    <row r="57" spans="1:8" x14ac:dyDescent="0.25">
      <c r="A57" s="11" t="s">
        <v>72</v>
      </c>
      <c r="B57" s="5">
        <f>+'2910'!H53</f>
        <v>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0</v>
      </c>
    </row>
    <row r="58" spans="1:8" x14ac:dyDescent="0.25">
      <c r="A58" s="11" t="s">
        <v>48</v>
      </c>
      <c r="B58" s="5">
        <f>+'2910'!H54</f>
        <v>60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60</v>
      </c>
    </row>
    <row r="59" spans="1:8" x14ac:dyDescent="0.25">
      <c r="A59" s="11" t="s">
        <v>75</v>
      </c>
      <c r="B59" s="5">
        <f>+'2910'!H55</f>
        <v>17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17</v>
      </c>
    </row>
    <row r="60" spans="1:8" x14ac:dyDescent="0.25">
      <c r="A60" s="11" t="s">
        <v>49</v>
      </c>
      <c r="B60" s="5">
        <f>+'2910'!H56</f>
        <v>180</v>
      </c>
      <c r="C60" s="5"/>
      <c r="D60" s="5" t="s">
        <v>18</v>
      </c>
      <c r="E60" s="14"/>
      <c r="F60" s="4"/>
      <c r="G60" s="4">
        <f t="shared" si="0"/>
        <v>0</v>
      </c>
      <c r="H60" s="5">
        <f t="shared" si="1"/>
        <v>180</v>
      </c>
    </row>
    <row r="61" spans="1:8" x14ac:dyDescent="0.25">
      <c r="A61" s="11" t="s">
        <v>50</v>
      </c>
      <c r="B61" s="5">
        <f>+'2910'!H57</f>
        <v>80</v>
      </c>
      <c r="C61" s="5"/>
      <c r="D61" s="5" t="s">
        <v>18</v>
      </c>
      <c r="E61" s="14"/>
      <c r="F61" s="4"/>
      <c r="G61" s="4">
        <f t="shared" si="0"/>
        <v>0</v>
      </c>
      <c r="H61" s="5">
        <f t="shared" si="1"/>
        <v>80</v>
      </c>
    </row>
    <row r="62" spans="1:8" x14ac:dyDescent="0.25">
      <c r="A62" s="11" t="s">
        <v>51</v>
      </c>
      <c r="B62" s="5">
        <f>+'2910'!H58</f>
        <v>20</v>
      </c>
      <c r="C62" s="5"/>
      <c r="D62" s="5" t="s">
        <v>18</v>
      </c>
      <c r="E62" s="14"/>
      <c r="F62" s="4"/>
      <c r="G62" s="4">
        <f t="shared" si="0"/>
        <v>0</v>
      </c>
      <c r="H62" s="5">
        <f t="shared" si="1"/>
        <v>20</v>
      </c>
    </row>
    <row r="63" spans="1:8" x14ac:dyDescent="0.25">
      <c r="A63" s="11" t="s">
        <v>52</v>
      </c>
      <c r="B63" s="5">
        <f>+'2910'!H59</f>
        <v>100</v>
      </c>
      <c r="C63" s="5"/>
      <c r="D63" s="5" t="s">
        <v>18</v>
      </c>
      <c r="E63" s="14"/>
      <c r="F63" s="4"/>
      <c r="G63" s="4">
        <f t="shared" si="0"/>
        <v>0</v>
      </c>
      <c r="H63" s="5">
        <f t="shared" si="1"/>
        <v>100</v>
      </c>
    </row>
    <row r="64" spans="1:8" x14ac:dyDescent="0.25">
      <c r="A64" s="11" t="s">
        <v>53</v>
      </c>
      <c r="B64" s="5">
        <f>+'2910'!H60</f>
        <v>40</v>
      </c>
      <c r="C64" s="5"/>
      <c r="D64" s="5" t="s">
        <v>18</v>
      </c>
      <c r="E64" s="14"/>
      <c r="F64" s="4"/>
      <c r="G64" s="4">
        <f t="shared" si="0"/>
        <v>0</v>
      </c>
      <c r="H64" s="5">
        <f t="shared" si="1"/>
        <v>40</v>
      </c>
    </row>
    <row r="65" spans="1:9" x14ac:dyDescent="0.25">
      <c r="A65" s="11" t="s">
        <v>54</v>
      </c>
      <c r="B65" s="5">
        <f>+'2910'!H61</f>
        <v>60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60</v>
      </c>
    </row>
    <row r="66" spans="1:9" x14ac:dyDescent="0.25">
      <c r="A66" s="11" t="s">
        <v>55</v>
      </c>
      <c r="B66" s="5">
        <f>+'2910'!H62</f>
        <v>100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100</v>
      </c>
    </row>
    <row r="67" spans="1:9" x14ac:dyDescent="0.25">
      <c r="A67" s="11" t="s">
        <v>56</v>
      </c>
      <c r="B67" s="5">
        <f>+'2910'!H63</f>
        <v>20</v>
      </c>
      <c r="C67" s="5"/>
      <c r="D67" s="5" t="s">
        <v>18</v>
      </c>
      <c r="E67" s="14"/>
      <c r="F67" s="4"/>
      <c r="G67" s="4">
        <f t="shared" si="0"/>
        <v>0</v>
      </c>
      <c r="H67" s="5">
        <f t="shared" si="1"/>
        <v>20</v>
      </c>
    </row>
    <row r="68" spans="1:9" x14ac:dyDescent="0.25">
      <c r="A68" s="11" t="s">
        <v>57</v>
      </c>
      <c r="B68" s="5">
        <f>+'2910'!H64</f>
        <v>80</v>
      </c>
      <c r="C68" s="5"/>
      <c r="D68" s="5" t="s">
        <v>18</v>
      </c>
      <c r="E68" s="14">
        <v>20</v>
      </c>
      <c r="F68" s="4"/>
      <c r="G68" s="4">
        <f t="shared" si="0"/>
        <v>0</v>
      </c>
      <c r="H68" s="5">
        <f t="shared" si="1"/>
        <v>60</v>
      </c>
    </row>
    <row r="69" spans="1:9" x14ac:dyDescent="0.25">
      <c r="A69" s="11" t="s">
        <v>58</v>
      </c>
      <c r="B69" s="5">
        <f>+'2910'!H65</f>
        <v>125</v>
      </c>
      <c r="C69" s="5"/>
      <c r="D69" s="5" t="s">
        <v>18</v>
      </c>
      <c r="E69" s="14"/>
      <c r="F69" s="4"/>
      <c r="G69" s="4">
        <f t="shared" si="0"/>
        <v>0</v>
      </c>
      <c r="H69" s="5">
        <f t="shared" si="1"/>
        <v>125</v>
      </c>
    </row>
    <row r="70" spans="1:9" x14ac:dyDescent="0.25">
      <c r="A70" s="11" t="s">
        <v>71</v>
      </c>
      <c r="B70" s="5">
        <f>+'2910'!H66</f>
        <v>34</v>
      </c>
      <c r="C70" s="5"/>
      <c r="D70" s="5" t="s">
        <v>18</v>
      </c>
      <c r="E70" s="14"/>
      <c r="F70" s="4"/>
      <c r="G70" s="4">
        <f t="shared" si="0"/>
        <v>0</v>
      </c>
      <c r="H70" s="5">
        <f t="shared" si="1"/>
        <v>34</v>
      </c>
    </row>
    <row r="71" spans="1:9" x14ac:dyDescent="0.25">
      <c r="A71" s="11" t="s">
        <v>59</v>
      </c>
      <c r="B71" s="5">
        <f>+'2910'!H67</f>
        <v>40</v>
      </c>
      <c r="C71" s="5"/>
      <c r="D71" s="5" t="s">
        <v>18</v>
      </c>
      <c r="E71" s="14"/>
      <c r="F71" s="4"/>
      <c r="G71" s="4">
        <f t="shared" si="0"/>
        <v>0</v>
      </c>
      <c r="H71" s="5">
        <f t="shared" si="1"/>
        <v>40</v>
      </c>
    </row>
    <row r="72" spans="1:9" x14ac:dyDescent="0.25">
      <c r="A72" s="11"/>
      <c r="B72" s="5">
        <f>+'2910'!H68</f>
        <v>0</v>
      </c>
      <c r="C72" s="5"/>
      <c r="D72" s="5" t="s">
        <v>18</v>
      </c>
      <c r="E72" s="14"/>
      <c r="F72" s="4"/>
      <c r="G72" s="4">
        <f t="shared" si="0"/>
        <v>0</v>
      </c>
      <c r="H72" s="5">
        <f t="shared" si="1"/>
        <v>0</v>
      </c>
      <c r="I72">
        <f>948+114+77+60+57</f>
        <v>1256</v>
      </c>
    </row>
    <row r="73" spans="1:9" x14ac:dyDescent="0.25">
      <c r="A73" s="3"/>
      <c r="B73" s="5">
        <f>+'2910'!H69</f>
        <v>0</v>
      </c>
      <c r="C73" s="5"/>
      <c r="D73" s="5" t="s">
        <v>18</v>
      </c>
      <c r="E73" s="14"/>
      <c r="F73" s="4"/>
      <c r="G73" s="4">
        <f t="shared" si="0"/>
        <v>0</v>
      </c>
      <c r="H73" s="5">
        <f t="shared" si="1"/>
        <v>0</v>
      </c>
    </row>
    <row r="74" spans="1:9" ht="18.75" x14ac:dyDescent="0.3">
      <c r="A74" s="7" t="s">
        <v>2</v>
      </c>
      <c r="B74" s="7"/>
      <c r="C74" s="7"/>
      <c r="D74" s="7"/>
      <c r="E74" s="8"/>
      <c r="F74" s="8"/>
      <c r="G74" s="8"/>
      <c r="H74" s="8"/>
    </row>
  </sheetData>
  <mergeCells count="2">
    <mergeCell ref="A2:A3"/>
    <mergeCell ref="B2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4"/>
  <sheetViews>
    <sheetView workbookViewId="0">
      <selection activeCell="J16" sqref="J16"/>
    </sheetView>
  </sheetViews>
  <sheetFormatPr baseColWidth="10" defaultRowHeight="15" x14ac:dyDescent="0.25"/>
  <cols>
    <col min="1" max="1" width="14.85546875" customWidth="1"/>
  </cols>
  <sheetData>
    <row r="2" spans="1:8" ht="15.75" x14ac:dyDescent="0.25">
      <c r="A2" s="27" t="s">
        <v>1</v>
      </c>
      <c r="B2" s="31">
        <v>45962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+'3010'!H4</f>
        <v>32</v>
      </c>
      <c r="C4" s="5"/>
      <c r="D4" s="5" t="s">
        <v>21</v>
      </c>
      <c r="E4" s="14"/>
      <c r="F4" s="4">
        <v>230.62</v>
      </c>
      <c r="G4" s="4">
        <f>E4*F4</f>
        <v>0</v>
      </c>
      <c r="H4" s="5">
        <f>B4-E4</f>
        <v>32</v>
      </c>
    </row>
    <row r="5" spans="1:8" x14ac:dyDescent="0.25">
      <c r="A5" s="12" t="s">
        <v>6</v>
      </c>
      <c r="B5" s="5">
        <f>+'3010'!H5</f>
        <v>61</v>
      </c>
      <c r="C5" s="5"/>
      <c r="D5" s="5" t="s">
        <v>21</v>
      </c>
      <c r="E5" s="14"/>
      <c r="F5" s="4">
        <v>91.2</v>
      </c>
      <c r="G5" s="4">
        <f t="shared" ref="G5:G73" si="0">E5*F5</f>
        <v>0</v>
      </c>
      <c r="H5" s="5">
        <f t="shared" ref="H5:H73" si="1">B5-E5</f>
        <v>61</v>
      </c>
    </row>
    <row r="6" spans="1:8" x14ac:dyDescent="0.25">
      <c r="A6" s="12" t="s">
        <v>7</v>
      </c>
      <c r="B6" s="5">
        <f>+'3010'!H6</f>
        <v>216</v>
      </c>
      <c r="C6" s="5"/>
      <c r="D6" s="5" t="s">
        <v>21</v>
      </c>
      <c r="E6" s="14"/>
      <c r="F6" s="4">
        <v>3500</v>
      </c>
      <c r="G6" s="4">
        <f t="shared" si="0"/>
        <v>0</v>
      </c>
      <c r="H6" s="5">
        <f t="shared" si="1"/>
        <v>216</v>
      </c>
    </row>
    <row r="7" spans="1:8" x14ac:dyDescent="0.25">
      <c r="A7" s="12" t="s">
        <v>8</v>
      </c>
      <c r="B7" s="5">
        <f>+'3010'!H7</f>
        <v>11</v>
      </c>
      <c r="C7" s="5"/>
      <c r="D7" s="5" t="s">
        <v>21</v>
      </c>
      <c r="E7" s="14"/>
      <c r="F7" s="4">
        <v>3300</v>
      </c>
      <c r="G7" s="4">
        <f t="shared" si="0"/>
        <v>0</v>
      </c>
      <c r="H7" s="5">
        <f t="shared" si="1"/>
        <v>11</v>
      </c>
    </row>
    <row r="8" spans="1:8" x14ac:dyDescent="0.25">
      <c r="A8" s="12" t="s">
        <v>9</v>
      </c>
      <c r="B8" s="5">
        <f>+'3010'!H8</f>
        <v>48</v>
      </c>
      <c r="C8" s="5"/>
      <c r="D8" s="5" t="s">
        <v>21</v>
      </c>
      <c r="E8" s="14"/>
      <c r="F8" s="4">
        <v>1554.62</v>
      </c>
      <c r="G8" s="4">
        <f t="shared" si="0"/>
        <v>0</v>
      </c>
      <c r="H8" s="5">
        <f t="shared" si="1"/>
        <v>48</v>
      </c>
    </row>
    <row r="9" spans="1:8" x14ac:dyDescent="0.25">
      <c r="A9" s="12" t="s">
        <v>10</v>
      </c>
      <c r="B9" s="5">
        <f>+'3010'!H9</f>
        <v>2348</v>
      </c>
      <c r="C9" s="5"/>
      <c r="D9" s="5" t="s">
        <v>18</v>
      </c>
      <c r="E9" s="14">
        <v>32</v>
      </c>
      <c r="F9" s="4">
        <v>210</v>
      </c>
      <c r="G9" s="4">
        <f t="shared" si="0"/>
        <v>6720</v>
      </c>
      <c r="H9" s="5">
        <f t="shared" si="1"/>
        <v>2316</v>
      </c>
    </row>
    <row r="10" spans="1:8" x14ac:dyDescent="0.25">
      <c r="A10" s="12" t="s">
        <v>23</v>
      </c>
      <c r="B10" s="5">
        <f>+'3010'!H10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+'3010'!H11</f>
        <v>1110</v>
      </c>
      <c r="C11" s="5"/>
      <c r="D11" s="5" t="s">
        <v>18</v>
      </c>
      <c r="E11" s="14"/>
      <c r="F11" s="4">
        <v>290</v>
      </c>
      <c r="G11" s="4">
        <f t="shared" si="0"/>
        <v>0</v>
      </c>
      <c r="H11" s="5">
        <f>B11-E11</f>
        <v>1110</v>
      </c>
    </row>
    <row r="12" spans="1:8" x14ac:dyDescent="0.25">
      <c r="A12" s="12" t="s">
        <v>12</v>
      </c>
      <c r="B12" s="5">
        <f>+'3010'!H12</f>
        <v>2725</v>
      </c>
      <c r="C12" s="5"/>
      <c r="D12" s="5" t="s">
        <v>18</v>
      </c>
      <c r="E12" s="14"/>
      <c r="F12" s="4">
        <v>49.5</v>
      </c>
      <c r="G12" s="4">
        <f t="shared" si="0"/>
        <v>0</v>
      </c>
      <c r="H12" s="5">
        <f t="shared" si="1"/>
        <v>2725</v>
      </c>
    </row>
    <row r="13" spans="1:8" x14ac:dyDescent="0.25">
      <c r="A13" s="12" t="s">
        <v>13</v>
      </c>
      <c r="B13" s="5">
        <f>+'3010'!H13</f>
        <v>400</v>
      </c>
      <c r="C13" s="5"/>
      <c r="D13" s="5" t="s">
        <v>18</v>
      </c>
      <c r="E13" s="14"/>
      <c r="F13" s="4">
        <v>285</v>
      </c>
      <c r="G13" s="4">
        <f t="shared" si="0"/>
        <v>0</v>
      </c>
      <c r="H13" s="5">
        <f t="shared" si="1"/>
        <v>400</v>
      </c>
    </row>
    <row r="14" spans="1:8" x14ac:dyDescent="0.25">
      <c r="A14" s="12" t="s">
        <v>14</v>
      </c>
      <c r="B14" s="5">
        <f>+'3010'!H14</f>
        <v>58525</v>
      </c>
      <c r="C14" s="5"/>
      <c r="D14" s="5" t="s">
        <v>18</v>
      </c>
      <c r="E14" s="14">
        <f>70*25</f>
        <v>1750</v>
      </c>
      <c r="F14" s="4">
        <v>93</v>
      </c>
      <c r="G14" s="4">
        <f t="shared" si="0"/>
        <v>162750</v>
      </c>
      <c r="H14" s="5">
        <f>B14-E14</f>
        <v>56775</v>
      </c>
    </row>
    <row r="15" spans="1:8" x14ac:dyDescent="0.25">
      <c r="A15" s="12" t="s">
        <v>15</v>
      </c>
      <c r="B15" s="5">
        <f>+'3010'!H15</f>
        <v>2230</v>
      </c>
      <c r="C15" s="5"/>
      <c r="D15" s="5" t="s">
        <v>18</v>
      </c>
      <c r="E15" s="14">
        <v>98</v>
      </c>
      <c r="F15" s="4">
        <v>67.23</v>
      </c>
      <c r="G15" s="4">
        <f t="shared" si="0"/>
        <v>6588.54</v>
      </c>
      <c r="H15" s="5">
        <f t="shared" si="1"/>
        <v>2132</v>
      </c>
    </row>
    <row r="16" spans="1:8" x14ac:dyDescent="0.25">
      <c r="A16" s="12" t="s">
        <v>16</v>
      </c>
      <c r="B16" s="5">
        <f>+'3010'!H16</f>
        <v>325</v>
      </c>
      <c r="C16" s="5"/>
      <c r="D16" s="5" t="s">
        <v>18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+'3010'!H17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f>+'3010'!H18</f>
        <v>1534.693</v>
      </c>
      <c r="C18" s="5"/>
      <c r="D18" s="5" t="s">
        <v>18</v>
      </c>
      <c r="E18" s="13"/>
      <c r="F18" s="10">
        <v>877.28</v>
      </c>
      <c r="G18" s="10">
        <f t="shared" si="0"/>
        <v>0</v>
      </c>
      <c r="H18" s="5">
        <f t="shared" si="1"/>
        <v>1534.693</v>
      </c>
    </row>
    <row r="19" spans="1:8" x14ac:dyDescent="0.25">
      <c r="A19" s="13" t="s">
        <v>61</v>
      </c>
      <c r="B19" s="5">
        <f>+'3010'!H19</f>
        <v>344.971</v>
      </c>
      <c r="C19" s="5"/>
      <c r="D19" s="5" t="s">
        <v>18</v>
      </c>
      <c r="E19" s="13"/>
      <c r="F19" s="10">
        <v>601.1</v>
      </c>
      <c r="G19" s="10">
        <f t="shared" si="0"/>
        <v>0</v>
      </c>
      <c r="H19" s="5">
        <f t="shared" si="1"/>
        <v>344.971</v>
      </c>
    </row>
    <row r="20" spans="1:8" x14ac:dyDescent="0.25">
      <c r="A20" s="13" t="s">
        <v>62</v>
      </c>
      <c r="B20" s="5">
        <f>+'3010'!H20</f>
        <v>990.22</v>
      </c>
      <c r="C20" s="5"/>
      <c r="D20" s="5" t="s">
        <v>18</v>
      </c>
      <c r="E20" s="13"/>
      <c r="F20" s="10">
        <v>568.61</v>
      </c>
      <c r="G20" s="10">
        <f t="shared" si="0"/>
        <v>0</v>
      </c>
      <c r="H20" s="5">
        <f t="shared" si="1"/>
        <v>990.22</v>
      </c>
    </row>
    <row r="21" spans="1:8" x14ac:dyDescent="0.25">
      <c r="A21" s="13" t="s">
        <v>63</v>
      </c>
      <c r="B21" s="5">
        <f>+'3010'!H21</f>
        <v>2462.3689999999997</v>
      </c>
      <c r="C21" s="5"/>
      <c r="D21" s="5" t="s">
        <v>18</v>
      </c>
      <c r="E21" s="13"/>
      <c r="F21" s="10">
        <v>333.04</v>
      </c>
      <c r="G21" s="10">
        <f t="shared" si="0"/>
        <v>0</v>
      </c>
      <c r="H21" s="5">
        <f t="shared" si="1"/>
        <v>2462.3689999999997</v>
      </c>
    </row>
    <row r="22" spans="1:8" x14ac:dyDescent="0.25">
      <c r="A22" s="13" t="s">
        <v>64</v>
      </c>
      <c r="B22" s="5">
        <f>+'3010'!H22</f>
        <v>1262.53</v>
      </c>
      <c r="C22" s="5"/>
      <c r="D22" s="5" t="s">
        <v>18</v>
      </c>
      <c r="E22" s="13"/>
      <c r="F22" s="10">
        <v>714.82</v>
      </c>
      <c r="G22" s="10">
        <f t="shared" si="0"/>
        <v>0</v>
      </c>
      <c r="H22" s="5">
        <f t="shared" si="1"/>
        <v>1262.53</v>
      </c>
    </row>
    <row r="23" spans="1:8" x14ac:dyDescent="0.25">
      <c r="A23" s="13" t="s">
        <v>65</v>
      </c>
      <c r="B23" s="5">
        <f>+'3010'!H23</f>
        <v>230</v>
      </c>
      <c r="C23" s="5"/>
      <c r="D23" s="5" t="s">
        <v>18</v>
      </c>
      <c r="E23" s="13"/>
      <c r="F23" s="10">
        <v>487.38</v>
      </c>
      <c r="G23" s="10">
        <f t="shared" si="0"/>
        <v>0</v>
      </c>
      <c r="H23" s="5">
        <f t="shared" si="1"/>
        <v>230</v>
      </c>
    </row>
    <row r="24" spans="1:8" x14ac:dyDescent="0.25">
      <c r="A24" s="13" t="s">
        <v>66</v>
      </c>
      <c r="B24" s="5">
        <f>+'3010'!H24</f>
        <v>974.65200000000004</v>
      </c>
      <c r="C24" s="5"/>
      <c r="D24" s="5" t="s">
        <v>18</v>
      </c>
      <c r="E24" s="13"/>
      <c r="F24" s="10">
        <v>844.79</v>
      </c>
      <c r="G24" s="10">
        <f t="shared" si="0"/>
        <v>0</v>
      </c>
      <c r="H24" s="5">
        <f t="shared" si="1"/>
        <v>974.65200000000004</v>
      </c>
    </row>
    <row r="25" spans="1:8" x14ac:dyDescent="0.25">
      <c r="A25" s="13" t="s">
        <v>67</v>
      </c>
      <c r="B25" s="5">
        <f>+'3010'!H25</f>
        <v>1104</v>
      </c>
      <c r="C25" s="5"/>
      <c r="D25" s="5" t="s">
        <v>18</v>
      </c>
      <c r="E25" s="13"/>
      <c r="F25" s="10">
        <v>901.65</v>
      </c>
      <c r="G25" s="10">
        <f t="shared" si="0"/>
        <v>0</v>
      </c>
      <c r="H25" s="5">
        <f t="shared" si="1"/>
        <v>1104</v>
      </c>
    </row>
    <row r="26" spans="1:8" x14ac:dyDescent="0.25">
      <c r="A26" s="13" t="s">
        <v>68</v>
      </c>
      <c r="B26" s="5">
        <f>+'3010'!H26</f>
        <v>229.04</v>
      </c>
      <c r="C26" s="5"/>
      <c r="D26" s="5" t="s">
        <v>18</v>
      </c>
      <c r="E26" s="13"/>
      <c r="F26" s="10">
        <v>877.28</v>
      </c>
      <c r="G26" s="10">
        <f t="shared" si="0"/>
        <v>0</v>
      </c>
      <c r="H26" s="5">
        <f t="shared" si="1"/>
        <v>229.04</v>
      </c>
    </row>
    <row r="27" spans="1:8" x14ac:dyDescent="0.25">
      <c r="A27" s="13" t="s">
        <v>69</v>
      </c>
      <c r="B27" s="5">
        <f>+'3010'!H27</f>
        <v>969.81</v>
      </c>
      <c r="C27" s="5"/>
      <c r="D27" s="5" t="s">
        <v>18</v>
      </c>
      <c r="E27" s="13"/>
      <c r="F27" s="10">
        <v>300.55</v>
      </c>
      <c r="G27" s="10">
        <f t="shared" si="0"/>
        <v>0</v>
      </c>
      <c r="H27" s="5">
        <f t="shared" si="1"/>
        <v>969.81</v>
      </c>
    </row>
    <row r="28" spans="1:8" x14ac:dyDescent="0.25">
      <c r="A28" s="13" t="s">
        <v>70</v>
      </c>
      <c r="B28" s="5">
        <f>+'3010'!H28</f>
        <v>14815.870999999999</v>
      </c>
      <c r="C28" s="5"/>
      <c r="D28" s="5" t="s">
        <v>18</v>
      </c>
      <c r="E28" s="13"/>
      <c r="F28" s="10">
        <v>178.7</v>
      </c>
      <c r="G28" s="10">
        <f t="shared" si="0"/>
        <v>0</v>
      </c>
      <c r="H28" s="5">
        <f t="shared" si="1"/>
        <v>14815.870999999999</v>
      </c>
    </row>
    <row r="29" spans="1:8" x14ac:dyDescent="0.25">
      <c r="A29" s="11" t="s">
        <v>27</v>
      </c>
      <c r="B29" s="5">
        <f>+'3010'!H29</f>
        <v>19</v>
      </c>
      <c r="C29" s="5"/>
      <c r="D29" s="5" t="s">
        <v>18</v>
      </c>
      <c r="E29" s="14"/>
      <c r="F29" s="4"/>
      <c r="G29" s="4">
        <f t="shared" si="0"/>
        <v>0</v>
      </c>
      <c r="H29" s="5">
        <f t="shared" si="1"/>
        <v>19</v>
      </c>
    </row>
    <row r="30" spans="1:8" x14ac:dyDescent="0.25">
      <c r="A30" s="11" t="s">
        <v>80</v>
      </c>
      <c r="B30" s="5">
        <f>+'3010'!H30</f>
        <v>0</v>
      </c>
      <c r="C30" s="5"/>
      <c r="D30" s="5" t="s">
        <v>18</v>
      </c>
      <c r="E30" s="14"/>
      <c r="F30" s="4"/>
      <c r="G30" s="4">
        <f t="shared" si="0"/>
        <v>0</v>
      </c>
      <c r="H30" s="5">
        <f t="shared" si="1"/>
        <v>0</v>
      </c>
    </row>
    <row r="31" spans="1:8" x14ac:dyDescent="0.25">
      <c r="A31" s="11" t="s">
        <v>28</v>
      </c>
      <c r="B31" s="5">
        <f>+'3010'!H31</f>
        <v>0</v>
      </c>
      <c r="C31" s="5"/>
      <c r="D31" s="5" t="s">
        <v>18</v>
      </c>
      <c r="E31" s="14"/>
      <c r="F31" s="4"/>
      <c r="G31" s="4">
        <f t="shared" si="0"/>
        <v>0</v>
      </c>
      <c r="H31" s="5">
        <f t="shared" si="1"/>
        <v>0</v>
      </c>
    </row>
    <row r="32" spans="1:8" x14ac:dyDescent="0.25">
      <c r="A32" s="11" t="s">
        <v>79</v>
      </c>
      <c r="B32" s="5">
        <f>+'3010'!H32</f>
        <v>40</v>
      </c>
      <c r="C32" s="5"/>
      <c r="D32" s="5" t="s">
        <v>18</v>
      </c>
      <c r="E32" s="14"/>
      <c r="F32" s="4"/>
      <c r="G32" s="4">
        <f t="shared" si="0"/>
        <v>0</v>
      </c>
      <c r="H32" s="5">
        <f t="shared" si="1"/>
        <v>40</v>
      </c>
    </row>
    <row r="33" spans="1:8" x14ac:dyDescent="0.25">
      <c r="A33" s="11" t="s">
        <v>73</v>
      </c>
      <c r="B33" s="5">
        <f>+'3010'!H33</f>
        <v>100</v>
      </c>
      <c r="C33" s="5"/>
      <c r="D33" s="5" t="s">
        <v>18</v>
      </c>
      <c r="E33" s="14"/>
      <c r="F33" s="4"/>
      <c r="G33" s="4">
        <f t="shared" si="0"/>
        <v>0</v>
      </c>
      <c r="H33" s="5">
        <f t="shared" si="1"/>
        <v>100</v>
      </c>
    </row>
    <row r="34" spans="1:8" x14ac:dyDescent="0.25">
      <c r="A34" s="11" t="s">
        <v>29</v>
      </c>
      <c r="B34" s="5">
        <f>+'3010'!H34</f>
        <v>60</v>
      </c>
      <c r="C34" s="5"/>
      <c r="D34" s="5" t="s">
        <v>18</v>
      </c>
      <c r="E34" s="14"/>
      <c r="F34" s="4"/>
      <c r="G34" s="4">
        <f t="shared" si="0"/>
        <v>0</v>
      </c>
      <c r="H34" s="5">
        <f t="shared" si="1"/>
        <v>60</v>
      </c>
    </row>
    <row r="35" spans="1:8" x14ac:dyDescent="0.25">
      <c r="A35" s="11" t="s">
        <v>30</v>
      </c>
      <c r="B35" s="5">
        <f>+'3010'!H35</f>
        <v>132</v>
      </c>
      <c r="C35" s="5"/>
      <c r="D35" s="5" t="s">
        <v>18</v>
      </c>
      <c r="E35" s="14"/>
      <c r="F35" s="4"/>
      <c r="G35" s="4">
        <f t="shared" si="0"/>
        <v>0</v>
      </c>
      <c r="H35" s="5">
        <f t="shared" si="1"/>
        <v>132</v>
      </c>
    </row>
    <row r="36" spans="1:8" x14ac:dyDescent="0.25">
      <c r="A36" s="11" t="s">
        <v>77</v>
      </c>
      <c r="B36" s="5">
        <f>+'3010'!H36</f>
        <v>60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60</v>
      </c>
    </row>
    <row r="37" spans="1:8" x14ac:dyDescent="0.25">
      <c r="A37" s="11" t="s">
        <v>31</v>
      </c>
      <c r="B37" s="5">
        <f>+'3010'!H37</f>
        <v>0</v>
      </c>
      <c r="C37" s="5"/>
      <c r="D37" s="5" t="s">
        <v>18</v>
      </c>
      <c r="E37" s="14"/>
      <c r="F37" s="4"/>
      <c r="G37" s="4">
        <f t="shared" si="0"/>
        <v>0</v>
      </c>
      <c r="H37" s="5">
        <f t="shared" si="1"/>
        <v>0</v>
      </c>
    </row>
    <row r="38" spans="1:8" x14ac:dyDescent="0.25">
      <c r="A38" s="11" t="s">
        <v>32</v>
      </c>
      <c r="B38" s="5">
        <f>+'3010'!H38</f>
        <v>40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40</v>
      </c>
    </row>
    <row r="39" spans="1:8" x14ac:dyDescent="0.25">
      <c r="A39" s="11" t="s">
        <v>76</v>
      </c>
      <c r="B39" s="5">
        <f>+'3010'!H39</f>
        <v>17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17</v>
      </c>
    </row>
    <row r="40" spans="1:8" x14ac:dyDescent="0.25">
      <c r="A40" s="11" t="s">
        <v>33</v>
      </c>
      <c r="B40" s="5">
        <f>+'3010'!H40</f>
        <v>40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40</v>
      </c>
    </row>
    <row r="41" spans="1:8" x14ac:dyDescent="0.25">
      <c r="A41" s="11" t="s">
        <v>34</v>
      </c>
      <c r="B41" s="5">
        <f>+'3010'!H41</f>
        <v>60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60</v>
      </c>
    </row>
    <row r="42" spans="1:8" x14ac:dyDescent="0.25">
      <c r="A42" s="11" t="s">
        <v>35</v>
      </c>
      <c r="B42" s="5">
        <f>+'3010'!H42</f>
        <v>100</v>
      </c>
      <c r="C42" s="5"/>
      <c r="D42" s="5" t="s">
        <v>18</v>
      </c>
      <c r="E42" s="14"/>
      <c r="F42" s="4"/>
      <c r="G42" s="4">
        <f t="shared" si="0"/>
        <v>0</v>
      </c>
      <c r="H42" s="5">
        <f t="shared" si="1"/>
        <v>100</v>
      </c>
    </row>
    <row r="43" spans="1:8" x14ac:dyDescent="0.25">
      <c r="A43" s="11" t="s">
        <v>36</v>
      </c>
      <c r="B43" s="5">
        <f>+'3010'!H43</f>
        <v>20</v>
      </c>
      <c r="C43" s="5"/>
      <c r="D43" s="5" t="s">
        <v>18</v>
      </c>
      <c r="E43" s="14"/>
      <c r="F43" s="4"/>
      <c r="G43" s="4">
        <f t="shared" si="0"/>
        <v>0</v>
      </c>
      <c r="H43" s="5">
        <f t="shared" si="1"/>
        <v>20</v>
      </c>
    </row>
    <row r="44" spans="1:8" x14ac:dyDescent="0.25">
      <c r="A44" s="11" t="s">
        <v>37</v>
      </c>
      <c r="B44" s="5">
        <f>+'3010'!H44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38</v>
      </c>
      <c r="B45" s="5">
        <f>+'3010'!H45</f>
        <v>40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40</v>
      </c>
    </row>
    <row r="46" spans="1:8" x14ac:dyDescent="0.25">
      <c r="A46" s="11" t="s">
        <v>39</v>
      </c>
      <c r="B46" s="5">
        <f>+'3010'!H46</f>
        <v>100</v>
      </c>
      <c r="C46" s="5"/>
      <c r="D46" s="5" t="s">
        <v>18</v>
      </c>
      <c r="E46" s="14"/>
      <c r="F46" s="4"/>
      <c r="G46" s="4">
        <f t="shared" si="0"/>
        <v>0</v>
      </c>
      <c r="H46" s="5">
        <f t="shared" si="1"/>
        <v>100</v>
      </c>
    </row>
    <row r="47" spans="1:8" x14ac:dyDescent="0.25">
      <c r="A47" s="11" t="s">
        <v>40</v>
      </c>
      <c r="B47" s="5">
        <f>+'3010'!H47</f>
        <v>20</v>
      </c>
      <c r="C47" s="5"/>
      <c r="D47" s="5" t="s">
        <v>18</v>
      </c>
      <c r="E47" s="14"/>
      <c r="F47" s="4"/>
      <c r="G47" s="4">
        <f t="shared" si="0"/>
        <v>0</v>
      </c>
      <c r="H47" s="5">
        <f t="shared" si="1"/>
        <v>20</v>
      </c>
    </row>
    <row r="48" spans="1:8" x14ac:dyDescent="0.25">
      <c r="A48" s="11" t="s">
        <v>41</v>
      </c>
      <c r="B48" s="5">
        <f>+'3010'!H48</f>
        <v>20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20</v>
      </c>
    </row>
    <row r="49" spans="1:8" x14ac:dyDescent="0.25">
      <c r="A49" s="11" t="s">
        <v>42</v>
      </c>
      <c r="B49" s="5">
        <f>+'3010'!H49</f>
        <v>160</v>
      </c>
      <c r="C49" s="5"/>
      <c r="D49" s="5" t="s">
        <v>18</v>
      </c>
      <c r="E49" s="14"/>
      <c r="F49" s="4"/>
      <c r="G49" s="4">
        <f t="shared" si="0"/>
        <v>0</v>
      </c>
      <c r="H49" s="5">
        <f t="shared" si="1"/>
        <v>160</v>
      </c>
    </row>
    <row r="50" spans="1:8" x14ac:dyDescent="0.25">
      <c r="A50" s="11" t="s">
        <v>43</v>
      </c>
      <c r="B50" s="5">
        <f>+'3010'!H50</f>
        <v>83</v>
      </c>
      <c r="C50" s="5"/>
      <c r="D50" s="5" t="s">
        <v>18</v>
      </c>
      <c r="E50" s="14"/>
      <c r="F50" s="4"/>
      <c r="G50" s="4">
        <f t="shared" si="0"/>
        <v>0</v>
      </c>
      <c r="H50" s="5">
        <f t="shared" si="1"/>
        <v>83</v>
      </c>
    </row>
    <row r="51" spans="1:8" x14ac:dyDescent="0.25">
      <c r="A51" s="11" t="s">
        <v>74</v>
      </c>
      <c r="B51" s="5">
        <f>+'3010'!H51</f>
        <v>60</v>
      </c>
      <c r="C51" s="5"/>
      <c r="D51" s="5" t="s">
        <v>18</v>
      </c>
      <c r="E51" s="14"/>
      <c r="F51" s="4"/>
      <c r="G51" s="4">
        <f t="shared" si="0"/>
        <v>0</v>
      </c>
      <c r="H51" s="5">
        <f t="shared" si="1"/>
        <v>60</v>
      </c>
    </row>
    <row r="52" spans="1:8" x14ac:dyDescent="0.25">
      <c r="A52" s="11" t="s">
        <v>78</v>
      </c>
      <c r="B52" s="5">
        <f>+'3010'!H52</f>
        <v>40</v>
      </c>
      <c r="C52" s="5"/>
      <c r="D52" s="5" t="s">
        <v>18</v>
      </c>
      <c r="E52" s="14"/>
      <c r="F52" s="4"/>
      <c r="G52" s="4">
        <f t="shared" si="0"/>
        <v>0</v>
      </c>
      <c r="H52" s="5">
        <f t="shared" si="1"/>
        <v>40</v>
      </c>
    </row>
    <row r="53" spans="1:8" x14ac:dyDescent="0.25">
      <c r="A53" s="11" t="s">
        <v>44</v>
      </c>
      <c r="B53" s="5">
        <f>+'3010'!H53</f>
        <v>40</v>
      </c>
      <c r="C53" s="5"/>
      <c r="D53" s="5" t="s">
        <v>18</v>
      </c>
      <c r="E53" s="14"/>
      <c r="F53" s="4"/>
      <c r="G53" s="4">
        <f t="shared" si="0"/>
        <v>0</v>
      </c>
      <c r="H53" s="5">
        <f t="shared" si="1"/>
        <v>40</v>
      </c>
    </row>
    <row r="54" spans="1:8" x14ac:dyDescent="0.25">
      <c r="A54" s="11" t="s">
        <v>45</v>
      </c>
      <c r="B54" s="5">
        <f>+'3010'!H54</f>
        <v>120</v>
      </c>
      <c r="C54" s="5"/>
      <c r="D54" s="5" t="s">
        <v>18</v>
      </c>
      <c r="E54" s="14"/>
      <c r="F54" s="4"/>
      <c r="G54" s="4">
        <f t="shared" si="0"/>
        <v>0</v>
      </c>
      <c r="H54" s="5">
        <f t="shared" si="1"/>
        <v>120</v>
      </c>
    </row>
    <row r="55" spans="1:8" x14ac:dyDescent="0.25">
      <c r="A55" s="11" t="s">
        <v>46</v>
      </c>
      <c r="B55" s="5">
        <f>+'3010'!H55</f>
        <v>20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20</v>
      </c>
    </row>
    <row r="56" spans="1:8" x14ac:dyDescent="0.25">
      <c r="A56" s="11" t="s">
        <v>47</v>
      </c>
      <c r="B56" s="5">
        <f>+'3010'!H56</f>
        <v>199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199</v>
      </c>
    </row>
    <row r="57" spans="1:8" x14ac:dyDescent="0.25">
      <c r="A57" s="11" t="s">
        <v>72</v>
      </c>
      <c r="B57" s="5">
        <f>+'3010'!H57</f>
        <v>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0</v>
      </c>
    </row>
    <row r="58" spans="1:8" x14ac:dyDescent="0.25">
      <c r="A58" s="11" t="s">
        <v>48</v>
      </c>
      <c r="B58" s="5">
        <f>+'3010'!H58</f>
        <v>60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60</v>
      </c>
    </row>
    <row r="59" spans="1:8" x14ac:dyDescent="0.25">
      <c r="A59" s="11" t="s">
        <v>75</v>
      </c>
      <c r="B59" s="5">
        <f>+'3010'!H59</f>
        <v>17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17</v>
      </c>
    </row>
    <row r="60" spans="1:8" x14ac:dyDescent="0.25">
      <c r="A60" s="11" t="s">
        <v>49</v>
      </c>
      <c r="B60" s="5">
        <f>+'3010'!H60</f>
        <v>180</v>
      </c>
      <c r="C60" s="5"/>
      <c r="D60" s="5" t="s">
        <v>18</v>
      </c>
      <c r="E60" s="14"/>
      <c r="F60" s="4"/>
      <c r="G60" s="4">
        <f t="shared" si="0"/>
        <v>0</v>
      </c>
      <c r="H60" s="5">
        <f t="shared" si="1"/>
        <v>180</v>
      </c>
    </row>
    <row r="61" spans="1:8" x14ac:dyDescent="0.25">
      <c r="A61" s="11" t="s">
        <v>50</v>
      </c>
      <c r="B61" s="5">
        <f>+'3010'!H61</f>
        <v>80</v>
      </c>
      <c r="C61" s="5"/>
      <c r="D61" s="5" t="s">
        <v>18</v>
      </c>
      <c r="E61" s="14"/>
      <c r="F61" s="4"/>
      <c r="G61" s="4">
        <f t="shared" si="0"/>
        <v>0</v>
      </c>
      <c r="H61" s="5">
        <f t="shared" si="1"/>
        <v>80</v>
      </c>
    </row>
    <row r="62" spans="1:8" x14ac:dyDescent="0.25">
      <c r="A62" s="11" t="s">
        <v>51</v>
      </c>
      <c r="B62" s="5">
        <f>+'3010'!H62</f>
        <v>20</v>
      </c>
      <c r="C62" s="5"/>
      <c r="D62" s="5" t="s">
        <v>18</v>
      </c>
      <c r="E62" s="14"/>
      <c r="F62" s="4"/>
      <c r="G62" s="4">
        <f t="shared" si="0"/>
        <v>0</v>
      </c>
      <c r="H62" s="5">
        <f t="shared" si="1"/>
        <v>20</v>
      </c>
    </row>
    <row r="63" spans="1:8" x14ac:dyDescent="0.25">
      <c r="A63" s="11" t="s">
        <v>52</v>
      </c>
      <c r="B63" s="5">
        <f>+'3010'!H63</f>
        <v>100</v>
      </c>
      <c r="C63" s="5"/>
      <c r="D63" s="5" t="s">
        <v>18</v>
      </c>
      <c r="E63" s="14"/>
      <c r="F63" s="4"/>
      <c r="G63" s="4">
        <f t="shared" si="0"/>
        <v>0</v>
      </c>
      <c r="H63" s="5">
        <f t="shared" si="1"/>
        <v>100</v>
      </c>
    </row>
    <row r="64" spans="1:8" x14ac:dyDescent="0.25">
      <c r="A64" s="11" t="s">
        <v>53</v>
      </c>
      <c r="B64" s="5">
        <f>+'3010'!H64</f>
        <v>40</v>
      </c>
      <c r="C64" s="5"/>
      <c r="D64" s="5" t="s">
        <v>18</v>
      </c>
      <c r="E64" s="14"/>
      <c r="F64" s="4"/>
      <c r="G64" s="4">
        <f t="shared" si="0"/>
        <v>0</v>
      </c>
      <c r="H64" s="5">
        <f t="shared" si="1"/>
        <v>40</v>
      </c>
    </row>
    <row r="65" spans="1:8" x14ac:dyDescent="0.25">
      <c r="A65" s="11" t="s">
        <v>54</v>
      </c>
      <c r="B65" s="5">
        <f>+'3010'!H65</f>
        <v>60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60</v>
      </c>
    </row>
    <row r="66" spans="1:8" x14ac:dyDescent="0.25">
      <c r="A66" s="11" t="s">
        <v>55</v>
      </c>
      <c r="B66" s="5">
        <f>+'3010'!H66</f>
        <v>100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100</v>
      </c>
    </row>
    <row r="67" spans="1:8" x14ac:dyDescent="0.25">
      <c r="A67" s="11" t="s">
        <v>56</v>
      </c>
      <c r="B67" s="5">
        <f>+'3010'!H67</f>
        <v>20</v>
      </c>
      <c r="C67" s="5"/>
      <c r="D67" s="5" t="s">
        <v>18</v>
      </c>
      <c r="E67" s="14"/>
      <c r="F67" s="4"/>
      <c r="G67" s="4">
        <f t="shared" si="0"/>
        <v>0</v>
      </c>
      <c r="H67" s="5">
        <f t="shared" si="1"/>
        <v>20</v>
      </c>
    </row>
    <row r="68" spans="1:8" x14ac:dyDescent="0.25">
      <c r="A68" s="11" t="s">
        <v>57</v>
      </c>
      <c r="B68" s="5">
        <f>+'3010'!H68</f>
        <v>60</v>
      </c>
      <c r="C68" s="5"/>
      <c r="D68" s="5" t="s">
        <v>18</v>
      </c>
      <c r="E68" s="14"/>
      <c r="F68" s="4"/>
      <c r="G68" s="4">
        <f t="shared" si="0"/>
        <v>0</v>
      </c>
      <c r="H68" s="5">
        <f t="shared" si="1"/>
        <v>60</v>
      </c>
    </row>
    <row r="69" spans="1:8" x14ac:dyDescent="0.25">
      <c r="A69" s="11" t="s">
        <v>58</v>
      </c>
      <c r="B69" s="5">
        <f>+'3010'!H69</f>
        <v>125</v>
      </c>
      <c r="C69" s="5"/>
      <c r="D69" s="5" t="s">
        <v>18</v>
      </c>
      <c r="E69" s="14"/>
      <c r="F69" s="4"/>
      <c r="G69" s="4">
        <f t="shared" si="0"/>
        <v>0</v>
      </c>
      <c r="H69" s="5">
        <f t="shared" si="1"/>
        <v>125</v>
      </c>
    </row>
    <row r="70" spans="1:8" x14ac:dyDescent="0.25">
      <c r="A70" s="11" t="s">
        <v>71</v>
      </c>
      <c r="B70" s="5">
        <f>+'3010'!H70</f>
        <v>34</v>
      </c>
      <c r="C70" s="5"/>
      <c r="D70" s="5" t="s">
        <v>18</v>
      </c>
      <c r="E70" s="14"/>
      <c r="F70" s="4"/>
      <c r="G70" s="4">
        <f t="shared" si="0"/>
        <v>0</v>
      </c>
      <c r="H70" s="5">
        <f t="shared" si="1"/>
        <v>34</v>
      </c>
    </row>
    <row r="71" spans="1:8" x14ac:dyDescent="0.25">
      <c r="A71" s="11" t="s">
        <v>59</v>
      </c>
      <c r="B71" s="5">
        <f>+'3010'!H71</f>
        <v>40</v>
      </c>
      <c r="C71" s="5"/>
      <c r="D71" s="5" t="s">
        <v>18</v>
      </c>
      <c r="E71" s="14"/>
      <c r="F71" s="4"/>
      <c r="G71" s="4">
        <f t="shared" si="0"/>
        <v>0</v>
      </c>
      <c r="H71" s="5">
        <f t="shared" si="1"/>
        <v>40</v>
      </c>
    </row>
    <row r="72" spans="1:8" x14ac:dyDescent="0.25">
      <c r="A72" s="11"/>
      <c r="B72" s="5">
        <f>+'3010'!H72</f>
        <v>0</v>
      </c>
      <c r="C72" s="5"/>
      <c r="D72" s="5" t="s">
        <v>18</v>
      </c>
      <c r="E72" s="14"/>
      <c r="F72" s="4"/>
      <c r="G72" s="4">
        <f t="shared" si="0"/>
        <v>0</v>
      </c>
      <c r="H72" s="5">
        <f t="shared" si="1"/>
        <v>0</v>
      </c>
    </row>
    <row r="73" spans="1:8" x14ac:dyDescent="0.25">
      <c r="A73" s="3"/>
      <c r="B73" s="5">
        <f>+'3010'!H73</f>
        <v>0</v>
      </c>
      <c r="C73" s="5"/>
      <c r="D73" s="5" t="s">
        <v>18</v>
      </c>
      <c r="E73" s="14"/>
      <c r="F73" s="4"/>
      <c r="G73" s="4">
        <f t="shared" si="0"/>
        <v>0</v>
      </c>
      <c r="H73" s="5">
        <f t="shared" si="1"/>
        <v>0</v>
      </c>
    </row>
    <row r="74" spans="1:8" ht="18.75" x14ac:dyDescent="0.3">
      <c r="A74" s="7" t="s">
        <v>2</v>
      </c>
      <c r="B74" s="7"/>
      <c r="C74" s="7"/>
      <c r="D74" s="7"/>
      <c r="E74" s="8"/>
      <c r="F74" s="8"/>
      <c r="G74" s="8"/>
      <c r="H74" s="8"/>
    </row>
  </sheetData>
  <mergeCells count="2">
    <mergeCell ref="A2:A3"/>
    <mergeCell ref="B2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4"/>
  <sheetViews>
    <sheetView workbookViewId="0">
      <selection activeCell="A2" sqref="A2:H75"/>
    </sheetView>
  </sheetViews>
  <sheetFormatPr baseColWidth="10" defaultRowHeight="15" x14ac:dyDescent="0.25"/>
  <cols>
    <col min="1" max="1" width="19.85546875" customWidth="1"/>
  </cols>
  <sheetData>
    <row r="2" spans="1:8" ht="15.75" x14ac:dyDescent="0.25">
      <c r="A2" s="27" t="s">
        <v>1</v>
      </c>
      <c r="B2" s="31">
        <v>45963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+'0111'!H4</f>
        <v>32</v>
      </c>
      <c r="C4" s="5"/>
      <c r="D4" s="5" t="s">
        <v>21</v>
      </c>
      <c r="E4" s="14">
        <v>5</v>
      </c>
      <c r="F4" s="4">
        <v>230.62</v>
      </c>
      <c r="G4" s="4">
        <f>E4*F4</f>
        <v>1153.0999999999999</v>
      </c>
      <c r="H4" s="5">
        <f>B4-E4</f>
        <v>27</v>
      </c>
    </row>
    <row r="5" spans="1:8" x14ac:dyDescent="0.25">
      <c r="A5" s="12" t="s">
        <v>6</v>
      </c>
      <c r="B5" s="5">
        <f>+'0111'!H5</f>
        <v>61</v>
      </c>
      <c r="C5" s="5"/>
      <c r="D5" s="5" t="s">
        <v>21</v>
      </c>
      <c r="E5" s="14">
        <v>1</v>
      </c>
      <c r="F5" s="4">
        <v>91.2</v>
      </c>
      <c r="G5" s="4">
        <f t="shared" ref="G5:G73" si="0">E5*F5</f>
        <v>91.2</v>
      </c>
      <c r="H5" s="5">
        <f t="shared" ref="H5:H73" si="1">B5-E5</f>
        <v>60</v>
      </c>
    </row>
    <row r="6" spans="1:8" x14ac:dyDescent="0.25">
      <c r="A6" s="12" t="s">
        <v>7</v>
      </c>
      <c r="B6" s="5">
        <f>+'0111'!H6</f>
        <v>216</v>
      </c>
      <c r="C6" s="5"/>
      <c r="D6" s="5" t="s">
        <v>21</v>
      </c>
      <c r="E6" s="14">
        <v>3</v>
      </c>
      <c r="F6" s="4">
        <v>3500</v>
      </c>
      <c r="G6" s="4">
        <f t="shared" si="0"/>
        <v>10500</v>
      </c>
      <c r="H6" s="5">
        <f t="shared" si="1"/>
        <v>213</v>
      </c>
    </row>
    <row r="7" spans="1:8" x14ac:dyDescent="0.25">
      <c r="A7" s="12" t="s">
        <v>8</v>
      </c>
      <c r="B7" s="5">
        <f>+'0111'!H7</f>
        <v>11</v>
      </c>
      <c r="C7" s="5"/>
      <c r="D7" s="5" t="s">
        <v>21</v>
      </c>
      <c r="E7" s="14"/>
      <c r="F7" s="4">
        <v>3300</v>
      </c>
      <c r="G7" s="4">
        <f t="shared" si="0"/>
        <v>0</v>
      </c>
      <c r="H7" s="5">
        <f t="shared" si="1"/>
        <v>11</v>
      </c>
    </row>
    <row r="8" spans="1:8" x14ac:dyDescent="0.25">
      <c r="A8" s="12" t="s">
        <v>9</v>
      </c>
      <c r="B8" s="5">
        <f>+'0111'!H8</f>
        <v>48</v>
      </c>
      <c r="C8" s="5"/>
      <c r="D8" s="5" t="s">
        <v>21</v>
      </c>
      <c r="E8" s="14"/>
      <c r="F8" s="4">
        <v>1554.62</v>
      </c>
      <c r="G8" s="4">
        <f t="shared" si="0"/>
        <v>0</v>
      </c>
      <c r="H8" s="5">
        <f t="shared" si="1"/>
        <v>48</v>
      </c>
    </row>
    <row r="9" spans="1:8" x14ac:dyDescent="0.25">
      <c r="A9" s="12" t="s">
        <v>10</v>
      </c>
      <c r="B9" s="5">
        <f>+'0111'!H9</f>
        <v>2316</v>
      </c>
      <c r="C9" s="5"/>
      <c r="D9" s="5" t="s">
        <v>18</v>
      </c>
      <c r="E9" s="14">
        <v>48</v>
      </c>
      <c r="F9" s="4">
        <v>210</v>
      </c>
      <c r="G9" s="4">
        <f t="shared" si="0"/>
        <v>10080</v>
      </c>
      <c r="H9" s="5">
        <f t="shared" si="1"/>
        <v>2268</v>
      </c>
    </row>
    <row r="10" spans="1:8" x14ac:dyDescent="0.25">
      <c r="A10" s="12" t="s">
        <v>23</v>
      </c>
      <c r="B10" s="5">
        <f>+'0111'!H10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+'0111'!H11</f>
        <v>1110</v>
      </c>
      <c r="C11" s="5"/>
      <c r="D11" s="5" t="s">
        <v>18</v>
      </c>
      <c r="E11" s="14"/>
      <c r="F11" s="4">
        <v>290</v>
      </c>
      <c r="G11" s="4">
        <f t="shared" si="0"/>
        <v>0</v>
      </c>
      <c r="H11" s="5">
        <f>B11-E11</f>
        <v>1110</v>
      </c>
    </row>
    <row r="12" spans="1:8" x14ac:dyDescent="0.25">
      <c r="A12" s="12" t="s">
        <v>12</v>
      </c>
      <c r="B12" s="5">
        <f>+'0111'!H12</f>
        <v>2725</v>
      </c>
      <c r="C12" s="5"/>
      <c r="D12" s="5" t="s">
        <v>18</v>
      </c>
      <c r="E12" s="14">
        <f>4*25</f>
        <v>100</v>
      </c>
      <c r="F12" s="4">
        <v>49.5</v>
      </c>
      <c r="G12" s="4">
        <f t="shared" si="0"/>
        <v>4950</v>
      </c>
      <c r="H12" s="5">
        <f t="shared" si="1"/>
        <v>2625</v>
      </c>
    </row>
    <row r="13" spans="1:8" x14ac:dyDescent="0.25">
      <c r="A13" s="12" t="s">
        <v>13</v>
      </c>
      <c r="B13" s="5">
        <f>+'0111'!H13</f>
        <v>400</v>
      </c>
      <c r="C13" s="5"/>
      <c r="D13" s="5" t="s">
        <v>18</v>
      </c>
      <c r="E13" s="14">
        <f>3*25</f>
        <v>75</v>
      </c>
      <c r="F13" s="4">
        <v>285</v>
      </c>
      <c r="G13" s="4">
        <f t="shared" si="0"/>
        <v>21375</v>
      </c>
      <c r="H13" s="5">
        <f t="shared" si="1"/>
        <v>325</v>
      </c>
    </row>
    <row r="14" spans="1:8" x14ac:dyDescent="0.25">
      <c r="A14" s="12" t="s">
        <v>14</v>
      </c>
      <c r="B14" s="5">
        <f>+'0111'!H14</f>
        <v>56775</v>
      </c>
      <c r="C14" s="5"/>
      <c r="D14" s="5" t="s">
        <v>18</v>
      </c>
      <c r="E14" s="14">
        <f>56*25</f>
        <v>1400</v>
      </c>
      <c r="F14" s="4">
        <v>93</v>
      </c>
      <c r="G14" s="4">
        <f t="shared" si="0"/>
        <v>130200</v>
      </c>
      <c r="H14" s="5">
        <f>B14-E14</f>
        <v>55375</v>
      </c>
    </row>
    <row r="15" spans="1:8" x14ac:dyDescent="0.25">
      <c r="A15" s="12" t="s">
        <v>15</v>
      </c>
      <c r="B15" s="5">
        <f>+'0111'!H15</f>
        <v>2132</v>
      </c>
      <c r="C15" s="5"/>
      <c r="D15" s="5" t="s">
        <v>18</v>
      </c>
      <c r="E15" s="14">
        <v>60</v>
      </c>
      <c r="F15" s="4">
        <v>67.23</v>
      </c>
      <c r="G15" s="4">
        <f t="shared" si="0"/>
        <v>4033.8</v>
      </c>
      <c r="H15" s="5">
        <f t="shared" si="1"/>
        <v>2072</v>
      </c>
    </row>
    <row r="16" spans="1:8" x14ac:dyDescent="0.25">
      <c r="A16" s="12" t="s">
        <v>16</v>
      </c>
      <c r="B16" s="5">
        <f>+'0111'!H16</f>
        <v>325</v>
      </c>
      <c r="C16" s="5"/>
      <c r="D16" s="5" t="s">
        <v>18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+'0111'!H17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f>+'0111'!H18</f>
        <v>1534.693</v>
      </c>
      <c r="C18" s="5"/>
      <c r="D18" s="5" t="s">
        <v>18</v>
      </c>
      <c r="E18" s="13"/>
      <c r="F18" s="10">
        <v>877.28</v>
      </c>
      <c r="G18" s="10">
        <f t="shared" si="0"/>
        <v>0</v>
      </c>
      <c r="H18" s="5">
        <f t="shared" si="1"/>
        <v>1534.693</v>
      </c>
    </row>
    <row r="19" spans="1:8" x14ac:dyDescent="0.25">
      <c r="A19" s="13" t="s">
        <v>61</v>
      </c>
      <c r="B19" s="5">
        <f>+'0111'!H19</f>
        <v>344.971</v>
      </c>
      <c r="C19" s="5"/>
      <c r="D19" s="5" t="s">
        <v>18</v>
      </c>
      <c r="E19" s="13"/>
      <c r="F19" s="10">
        <v>601.1</v>
      </c>
      <c r="G19" s="10">
        <f t="shared" si="0"/>
        <v>0</v>
      </c>
      <c r="H19" s="5">
        <f t="shared" si="1"/>
        <v>344.971</v>
      </c>
    </row>
    <row r="20" spans="1:8" x14ac:dyDescent="0.25">
      <c r="A20" s="13" t="s">
        <v>62</v>
      </c>
      <c r="B20" s="5">
        <f>+'0111'!H20</f>
        <v>990.22</v>
      </c>
      <c r="C20" s="5"/>
      <c r="D20" s="5" t="s">
        <v>18</v>
      </c>
      <c r="E20" s="13"/>
      <c r="F20" s="10">
        <v>568.61</v>
      </c>
      <c r="G20" s="10">
        <f t="shared" si="0"/>
        <v>0</v>
      </c>
      <c r="H20" s="5">
        <f t="shared" si="1"/>
        <v>990.22</v>
      </c>
    </row>
    <row r="21" spans="1:8" x14ac:dyDescent="0.25">
      <c r="A21" s="13" t="s">
        <v>63</v>
      </c>
      <c r="B21" s="5">
        <f>+'0111'!H21</f>
        <v>2462.3689999999997</v>
      </c>
      <c r="C21" s="5"/>
      <c r="D21" s="5" t="s">
        <v>18</v>
      </c>
      <c r="E21" s="13"/>
      <c r="F21" s="10">
        <v>333.04</v>
      </c>
      <c r="G21" s="10">
        <f t="shared" si="0"/>
        <v>0</v>
      </c>
      <c r="H21" s="5">
        <f t="shared" si="1"/>
        <v>2462.3689999999997</v>
      </c>
    </row>
    <row r="22" spans="1:8" x14ac:dyDescent="0.25">
      <c r="A22" s="13" t="s">
        <v>64</v>
      </c>
      <c r="B22" s="5">
        <f>+'0111'!H22</f>
        <v>1262.53</v>
      </c>
      <c r="C22" s="5"/>
      <c r="D22" s="5" t="s">
        <v>18</v>
      </c>
      <c r="E22" s="13"/>
      <c r="F22" s="10">
        <v>714.82</v>
      </c>
      <c r="G22" s="10">
        <f t="shared" si="0"/>
        <v>0</v>
      </c>
      <c r="H22" s="5">
        <f t="shared" si="1"/>
        <v>1262.53</v>
      </c>
    </row>
    <row r="23" spans="1:8" x14ac:dyDescent="0.25">
      <c r="A23" s="13" t="s">
        <v>65</v>
      </c>
      <c r="B23" s="5">
        <f>+'0111'!H23</f>
        <v>230</v>
      </c>
      <c r="C23" s="5"/>
      <c r="D23" s="5" t="s">
        <v>18</v>
      </c>
      <c r="E23" s="13"/>
      <c r="F23" s="10">
        <v>487.38</v>
      </c>
      <c r="G23" s="10">
        <f t="shared" si="0"/>
        <v>0</v>
      </c>
      <c r="H23" s="5">
        <f t="shared" si="1"/>
        <v>230</v>
      </c>
    </row>
    <row r="24" spans="1:8" x14ac:dyDescent="0.25">
      <c r="A24" s="13" t="s">
        <v>66</v>
      </c>
      <c r="B24" s="5">
        <f>+'0111'!H24</f>
        <v>974.65200000000004</v>
      </c>
      <c r="C24" s="5"/>
      <c r="D24" s="5" t="s">
        <v>18</v>
      </c>
      <c r="E24" s="13"/>
      <c r="F24" s="10">
        <v>844.79</v>
      </c>
      <c r="G24" s="10">
        <f t="shared" si="0"/>
        <v>0</v>
      </c>
      <c r="H24" s="5">
        <f t="shared" si="1"/>
        <v>974.65200000000004</v>
      </c>
    </row>
    <row r="25" spans="1:8" x14ac:dyDescent="0.25">
      <c r="A25" s="13" t="s">
        <v>67</v>
      </c>
      <c r="B25" s="5">
        <f>+'0111'!H25</f>
        <v>1104</v>
      </c>
      <c r="C25" s="5"/>
      <c r="D25" s="5" t="s">
        <v>18</v>
      </c>
      <c r="E25" s="13"/>
      <c r="F25" s="10">
        <v>901.65</v>
      </c>
      <c r="G25" s="10">
        <f t="shared" si="0"/>
        <v>0</v>
      </c>
      <c r="H25" s="5">
        <f t="shared" si="1"/>
        <v>1104</v>
      </c>
    </row>
    <row r="26" spans="1:8" x14ac:dyDescent="0.25">
      <c r="A26" s="13" t="s">
        <v>68</v>
      </c>
      <c r="B26" s="5">
        <f>+'0111'!H26</f>
        <v>229.04</v>
      </c>
      <c r="C26" s="5"/>
      <c r="D26" s="5" t="s">
        <v>18</v>
      </c>
      <c r="E26" s="13"/>
      <c r="F26" s="10">
        <v>877.28</v>
      </c>
      <c r="G26" s="10">
        <f t="shared" si="0"/>
        <v>0</v>
      </c>
      <c r="H26" s="5">
        <f t="shared" si="1"/>
        <v>229.04</v>
      </c>
    </row>
    <row r="27" spans="1:8" x14ac:dyDescent="0.25">
      <c r="A27" s="13" t="s">
        <v>69</v>
      </c>
      <c r="B27" s="5">
        <f>+'0111'!H27</f>
        <v>969.81</v>
      </c>
      <c r="C27" s="5"/>
      <c r="D27" s="5" t="s">
        <v>18</v>
      </c>
      <c r="E27" s="13"/>
      <c r="F27" s="10">
        <v>300.55</v>
      </c>
      <c r="G27" s="10">
        <f t="shared" si="0"/>
        <v>0</v>
      </c>
      <c r="H27" s="5">
        <f t="shared" si="1"/>
        <v>969.81</v>
      </c>
    </row>
    <row r="28" spans="1:8" x14ac:dyDescent="0.25">
      <c r="A28" s="13" t="s">
        <v>70</v>
      </c>
      <c r="B28" s="5">
        <f>+'0111'!H28</f>
        <v>14815.870999999999</v>
      </c>
      <c r="C28" s="5"/>
      <c r="D28" s="5" t="s">
        <v>18</v>
      </c>
      <c r="E28" s="13"/>
      <c r="F28" s="10">
        <v>178.7</v>
      </c>
      <c r="G28" s="10">
        <f t="shared" si="0"/>
        <v>0</v>
      </c>
      <c r="H28" s="5">
        <f t="shared" si="1"/>
        <v>14815.870999999999</v>
      </c>
    </row>
    <row r="29" spans="1:8" x14ac:dyDescent="0.25">
      <c r="A29" s="11" t="s">
        <v>27</v>
      </c>
      <c r="B29" s="5">
        <f>+'0111'!H29</f>
        <v>19</v>
      </c>
      <c r="C29" s="5"/>
      <c r="D29" s="5" t="s">
        <v>18</v>
      </c>
      <c r="E29" s="14"/>
      <c r="F29" s="4"/>
      <c r="G29" s="4">
        <f t="shared" si="0"/>
        <v>0</v>
      </c>
      <c r="H29" s="5">
        <f t="shared" si="1"/>
        <v>19</v>
      </c>
    </row>
    <row r="30" spans="1:8" x14ac:dyDescent="0.25">
      <c r="A30" s="11" t="s">
        <v>80</v>
      </c>
      <c r="B30" s="5">
        <f>+'0111'!H30</f>
        <v>0</v>
      </c>
      <c r="C30" s="5"/>
      <c r="D30" s="5" t="s">
        <v>18</v>
      </c>
      <c r="E30" s="14"/>
      <c r="F30" s="4"/>
      <c r="G30" s="4">
        <f t="shared" si="0"/>
        <v>0</v>
      </c>
      <c r="H30" s="5">
        <f t="shared" si="1"/>
        <v>0</v>
      </c>
    </row>
    <row r="31" spans="1:8" x14ac:dyDescent="0.25">
      <c r="A31" s="11" t="s">
        <v>28</v>
      </c>
      <c r="B31" s="5">
        <f>+'0111'!H31</f>
        <v>0</v>
      </c>
      <c r="C31" s="5"/>
      <c r="D31" s="5" t="s">
        <v>18</v>
      </c>
      <c r="E31" s="14"/>
      <c r="F31" s="4"/>
      <c r="G31" s="4">
        <f t="shared" si="0"/>
        <v>0</v>
      </c>
      <c r="H31" s="5">
        <f t="shared" si="1"/>
        <v>0</v>
      </c>
    </row>
    <row r="32" spans="1:8" x14ac:dyDescent="0.25">
      <c r="A32" s="11" t="s">
        <v>79</v>
      </c>
      <c r="B32" s="5">
        <f>+'0111'!H32</f>
        <v>40</v>
      </c>
      <c r="C32" s="5"/>
      <c r="D32" s="5" t="s">
        <v>18</v>
      </c>
      <c r="E32" s="14"/>
      <c r="F32" s="4"/>
      <c r="G32" s="4">
        <f t="shared" si="0"/>
        <v>0</v>
      </c>
      <c r="H32" s="5">
        <f t="shared" si="1"/>
        <v>40</v>
      </c>
    </row>
    <row r="33" spans="1:8" x14ac:dyDescent="0.25">
      <c r="A33" s="11" t="s">
        <v>73</v>
      </c>
      <c r="B33" s="5">
        <f>+'0111'!H33</f>
        <v>100</v>
      </c>
      <c r="C33" s="5"/>
      <c r="D33" s="5" t="s">
        <v>18</v>
      </c>
      <c r="E33" s="14"/>
      <c r="F33" s="4"/>
      <c r="G33" s="4">
        <f t="shared" si="0"/>
        <v>0</v>
      </c>
      <c r="H33" s="5">
        <f t="shared" si="1"/>
        <v>100</v>
      </c>
    </row>
    <row r="34" spans="1:8" x14ac:dyDescent="0.25">
      <c r="A34" s="11" t="s">
        <v>29</v>
      </c>
      <c r="B34" s="5">
        <f>+'0111'!H34</f>
        <v>60</v>
      </c>
      <c r="C34" s="5"/>
      <c r="D34" s="5" t="s">
        <v>18</v>
      </c>
      <c r="E34" s="14"/>
      <c r="F34" s="4"/>
      <c r="G34" s="4">
        <f t="shared" si="0"/>
        <v>0</v>
      </c>
      <c r="H34" s="5">
        <f t="shared" si="1"/>
        <v>60</v>
      </c>
    </row>
    <row r="35" spans="1:8" x14ac:dyDescent="0.25">
      <c r="A35" s="11" t="s">
        <v>30</v>
      </c>
      <c r="B35" s="5">
        <f>+'0111'!H35</f>
        <v>132</v>
      </c>
      <c r="C35" s="5"/>
      <c r="D35" s="5" t="s">
        <v>18</v>
      </c>
      <c r="E35" s="14">
        <v>17</v>
      </c>
      <c r="F35" s="4"/>
      <c r="G35" s="4">
        <f t="shared" si="0"/>
        <v>0</v>
      </c>
      <c r="H35" s="5">
        <f t="shared" si="1"/>
        <v>115</v>
      </c>
    </row>
    <row r="36" spans="1:8" x14ac:dyDescent="0.25">
      <c r="A36" s="11" t="s">
        <v>77</v>
      </c>
      <c r="B36" s="5">
        <f>+'0111'!H36</f>
        <v>60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60</v>
      </c>
    </row>
    <row r="37" spans="1:8" x14ac:dyDescent="0.25">
      <c r="A37" s="11" t="s">
        <v>31</v>
      </c>
      <c r="B37" s="5">
        <f>+'0111'!H37</f>
        <v>0</v>
      </c>
      <c r="C37" s="5"/>
      <c r="D37" s="5" t="s">
        <v>18</v>
      </c>
      <c r="E37" s="14"/>
      <c r="F37" s="4"/>
      <c r="G37" s="4">
        <f t="shared" si="0"/>
        <v>0</v>
      </c>
      <c r="H37" s="5">
        <f t="shared" si="1"/>
        <v>0</v>
      </c>
    </row>
    <row r="38" spans="1:8" x14ac:dyDescent="0.25">
      <c r="A38" s="11" t="s">
        <v>32</v>
      </c>
      <c r="B38" s="5">
        <f>+'0111'!H38</f>
        <v>40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40</v>
      </c>
    </row>
    <row r="39" spans="1:8" x14ac:dyDescent="0.25">
      <c r="A39" s="11" t="s">
        <v>76</v>
      </c>
      <c r="B39" s="5">
        <f>+'0111'!H39</f>
        <v>17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17</v>
      </c>
    </row>
    <row r="40" spans="1:8" x14ac:dyDescent="0.25">
      <c r="A40" s="11" t="s">
        <v>33</v>
      </c>
      <c r="B40" s="5">
        <f>+'0111'!H40</f>
        <v>40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40</v>
      </c>
    </row>
    <row r="41" spans="1:8" x14ac:dyDescent="0.25">
      <c r="A41" s="11" t="s">
        <v>34</v>
      </c>
      <c r="B41" s="5">
        <f>+'0111'!H41</f>
        <v>60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60</v>
      </c>
    </row>
    <row r="42" spans="1:8" x14ac:dyDescent="0.25">
      <c r="A42" s="11" t="s">
        <v>35</v>
      </c>
      <c r="B42" s="5">
        <f>+'0111'!H42</f>
        <v>100</v>
      </c>
      <c r="C42" s="5"/>
      <c r="D42" s="5" t="s">
        <v>18</v>
      </c>
      <c r="E42" s="14"/>
      <c r="F42" s="4"/>
      <c r="G42" s="4">
        <f t="shared" si="0"/>
        <v>0</v>
      </c>
      <c r="H42" s="5">
        <f t="shared" si="1"/>
        <v>100</v>
      </c>
    </row>
    <row r="43" spans="1:8" x14ac:dyDescent="0.25">
      <c r="A43" s="11" t="s">
        <v>36</v>
      </c>
      <c r="B43" s="5">
        <f>+'0111'!H43</f>
        <v>20</v>
      </c>
      <c r="C43" s="5"/>
      <c r="D43" s="5" t="s">
        <v>18</v>
      </c>
      <c r="E43" s="14"/>
      <c r="F43" s="4"/>
      <c r="G43" s="4">
        <f t="shared" si="0"/>
        <v>0</v>
      </c>
      <c r="H43" s="5">
        <f t="shared" si="1"/>
        <v>20</v>
      </c>
    </row>
    <row r="44" spans="1:8" x14ac:dyDescent="0.25">
      <c r="A44" s="11" t="s">
        <v>37</v>
      </c>
      <c r="B44" s="5">
        <f>+'0111'!H44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38</v>
      </c>
      <c r="B45" s="5">
        <f>+'0111'!H45</f>
        <v>40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40</v>
      </c>
    </row>
    <row r="46" spans="1:8" x14ac:dyDescent="0.25">
      <c r="A46" s="11" t="s">
        <v>39</v>
      </c>
      <c r="B46" s="5">
        <f>+'0111'!H46</f>
        <v>100</v>
      </c>
      <c r="C46" s="5"/>
      <c r="D46" s="5" t="s">
        <v>18</v>
      </c>
      <c r="E46" s="14"/>
      <c r="F46" s="4"/>
      <c r="G46" s="4">
        <f t="shared" si="0"/>
        <v>0</v>
      </c>
      <c r="H46" s="5">
        <f t="shared" si="1"/>
        <v>100</v>
      </c>
    </row>
    <row r="47" spans="1:8" x14ac:dyDescent="0.25">
      <c r="A47" s="11" t="s">
        <v>40</v>
      </c>
      <c r="B47" s="5">
        <f>+'0111'!H47</f>
        <v>20</v>
      </c>
      <c r="C47" s="5"/>
      <c r="D47" s="5" t="s">
        <v>18</v>
      </c>
      <c r="E47" s="14"/>
      <c r="F47" s="4"/>
      <c r="G47" s="4">
        <f t="shared" si="0"/>
        <v>0</v>
      </c>
      <c r="H47" s="5">
        <f t="shared" si="1"/>
        <v>20</v>
      </c>
    </row>
    <row r="48" spans="1:8" x14ac:dyDescent="0.25">
      <c r="A48" s="11" t="s">
        <v>41</v>
      </c>
      <c r="B48" s="5">
        <f>+'0111'!H48</f>
        <v>20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20</v>
      </c>
    </row>
    <row r="49" spans="1:8" x14ac:dyDescent="0.25">
      <c r="A49" s="11" t="s">
        <v>42</v>
      </c>
      <c r="B49" s="5">
        <f>+'0111'!H49</f>
        <v>160</v>
      </c>
      <c r="C49" s="5"/>
      <c r="D49" s="5" t="s">
        <v>18</v>
      </c>
      <c r="E49" s="14"/>
      <c r="F49" s="4"/>
      <c r="G49" s="4">
        <f t="shared" si="0"/>
        <v>0</v>
      </c>
      <c r="H49" s="5">
        <f t="shared" si="1"/>
        <v>160</v>
      </c>
    </row>
    <row r="50" spans="1:8" x14ac:dyDescent="0.25">
      <c r="A50" s="11" t="s">
        <v>43</v>
      </c>
      <c r="B50" s="5">
        <f>+'0111'!H50</f>
        <v>83</v>
      </c>
      <c r="C50" s="5"/>
      <c r="D50" s="5" t="s">
        <v>18</v>
      </c>
      <c r="E50" s="14"/>
      <c r="F50" s="4"/>
      <c r="G50" s="4">
        <f t="shared" si="0"/>
        <v>0</v>
      </c>
      <c r="H50" s="5">
        <f t="shared" si="1"/>
        <v>83</v>
      </c>
    </row>
    <row r="51" spans="1:8" x14ac:dyDescent="0.25">
      <c r="A51" s="11" t="s">
        <v>74</v>
      </c>
      <c r="B51" s="5">
        <f>+'0111'!H51</f>
        <v>60</v>
      </c>
      <c r="C51" s="5"/>
      <c r="D51" s="5" t="s">
        <v>18</v>
      </c>
      <c r="E51" s="14"/>
      <c r="F51" s="4"/>
      <c r="G51" s="4">
        <f t="shared" si="0"/>
        <v>0</v>
      </c>
      <c r="H51" s="5">
        <f t="shared" si="1"/>
        <v>60</v>
      </c>
    </row>
    <row r="52" spans="1:8" x14ac:dyDescent="0.25">
      <c r="A52" s="11" t="s">
        <v>78</v>
      </c>
      <c r="B52" s="5">
        <f>+'0111'!H52</f>
        <v>40</v>
      </c>
      <c r="C52" s="5"/>
      <c r="D52" s="5" t="s">
        <v>18</v>
      </c>
      <c r="E52" s="14"/>
      <c r="F52" s="4"/>
      <c r="G52" s="4">
        <f t="shared" si="0"/>
        <v>0</v>
      </c>
      <c r="H52" s="5">
        <f t="shared" si="1"/>
        <v>40</v>
      </c>
    </row>
    <row r="53" spans="1:8" x14ac:dyDescent="0.25">
      <c r="A53" s="11" t="s">
        <v>44</v>
      </c>
      <c r="B53" s="5">
        <f>+'0111'!H53</f>
        <v>40</v>
      </c>
      <c r="C53" s="5"/>
      <c r="D53" s="5" t="s">
        <v>18</v>
      </c>
      <c r="E53" s="14"/>
      <c r="F53" s="4"/>
      <c r="G53" s="4">
        <f t="shared" si="0"/>
        <v>0</v>
      </c>
      <c r="H53" s="5">
        <f t="shared" si="1"/>
        <v>40</v>
      </c>
    </row>
    <row r="54" spans="1:8" x14ac:dyDescent="0.25">
      <c r="A54" s="11" t="s">
        <v>45</v>
      </c>
      <c r="B54" s="5">
        <f>+'0111'!H54</f>
        <v>120</v>
      </c>
      <c r="C54" s="5"/>
      <c r="D54" s="5" t="s">
        <v>18</v>
      </c>
      <c r="E54" s="14"/>
      <c r="F54" s="4"/>
      <c r="G54" s="4">
        <f t="shared" si="0"/>
        <v>0</v>
      </c>
      <c r="H54" s="5">
        <f t="shared" si="1"/>
        <v>120</v>
      </c>
    </row>
    <row r="55" spans="1:8" x14ac:dyDescent="0.25">
      <c r="A55" s="11" t="s">
        <v>46</v>
      </c>
      <c r="B55" s="5">
        <f>+'0111'!H55</f>
        <v>20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20</v>
      </c>
    </row>
    <row r="56" spans="1:8" x14ac:dyDescent="0.25">
      <c r="A56" s="11" t="s">
        <v>47</v>
      </c>
      <c r="B56" s="5">
        <f>+'0111'!H56</f>
        <v>199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199</v>
      </c>
    </row>
    <row r="57" spans="1:8" x14ac:dyDescent="0.25">
      <c r="A57" s="11" t="s">
        <v>72</v>
      </c>
      <c r="B57" s="5">
        <f>+'0111'!H57</f>
        <v>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0</v>
      </c>
    </row>
    <row r="58" spans="1:8" x14ac:dyDescent="0.25">
      <c r="A58" s="11" t="s">
        <v>48</v>
      </c>
      <c r="B58" s="5">
        <f>+'0111'!H58</f>
        <v>60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60</v>
      </c>
    </row>
    <row r="59" spans="1:8" x14ac:dyDescent="0.25">
      <c r="A59" s="11" t="s">
        <v>75</v>
      </c>
      <c r="B59" s="5">
        <f>+'0111'!H59</f>
        <v>17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17</v>
      </c>
    </row>
    <row r="60" spans="1:8" x14ac:dyDescent="0.25">
      <c r="A60" s="11" t="s">
        <v>49</v>
      </c>
      <c r="B60" s="5">
        <f>+'0111'!H60</f>
        <v>180</v>
      </c>
      <c r="C60" s="5"/>
      <c r="D60" s="5" t="s">
        <v>18</v>
      </c>
      <c r="E60" s="14"/>
      <c r="F60" s="4"/>
      <c r="G60" s="4">
        <f t="shared" si="0"/>
        <v>0</v>
      </c>
      <c r="H60" s="5">
        <f t="shared" si="1"/>
        <v>180</v>
      </c>
    </row>
    <row r="61" spans="1:8" x14ac:dyDescent="0.25">
      <c r="A61" s="11" t="s">
        <v>50</v>
      </c>
      <c r="B61" s="5">
        <f>+'0111'!H61</f>
        <v>80</v>
      </c>
      <c r="C61" s="5"/>
      <c r="D61" s="5" t="s">
        <v>18</v>
      </c>
      <c r="E61" s="14"/>
      <c r="F61" s="4"/>
      <c r="G61" s="4">
        <f t="shared" si="0"/>
        <v>0</v>
      </c>
      <c r="H61" s="5">
        <f t="shared" si="1"/>
        <v>80</v>
      </c>
    </row>
    <row r="62" spans="1:8" x14ac:dyDescent="0.25">
      <c r="A62" s="11" t="s">
        <v>51</v>
      </c>
      <c r="B62" s="5">
        <f>+'0111'!H62</f>
        <v>20</v>
      </c>
      <c r="C62" s="5"/>
      <c r="D62" s="5" t="s">
        <v>18</v>
      </c>
      <c r="E62" s="14"/>
      <c r="F62" s="4"/>
      <c r="G62" s="4">
        <f t="shared" si="0"/>
        <v>0</v>
      </c>
      <c r="H62" s="5">
        <f t="shared" si="1"/>
        <v>20</v>
      </c>
    </row>
    <row r="63" spans="1:8" x14ac:dyDescent="0.25">
      <c r="A63" s="11" t="s">
        <v>52</v>
      </c>
      <c r="B63" s="5">
        <f>+'0111'!H63</f>
        <v>100</v>
      </c>
      <c r="C63" s="5"/>
      <c r="D63" s="5" t="s">
        <v>18</v>
      </c>
      <c r="E63" s="14"/>
      <c r="F63" s="4"/>
      <c r="G63" s="4">
        <f t="shared" si="0"/>
        <v>0</v>
      </c>
      <c r="H63" s="5">
        <f t="shared" si="1"/>
        <v>100</v>
      </c>
    </row>
    <row r="64" spans="1:8" x14ac:dyDescent="0.25">
      <c r="A64" s="11" t="s">
        <v>53</v>
      </c>
      <c r="B64" s="5">
        <f>+'0111'!H64</f>
        <v>40</v>
      </c>
      <c r="C64" s="5"/>
      <c r="D64" s="5" t="s">
        <v>18</v>
      </c>
      <c r="E64" s="14"/>
      <c r="F64" s="4"/>
      <c r="G64" s="4">
        <f t="shared" si="0"/>
        <v>0</v>
      </c>
      <c r="H64" s="5">
        <f t="shared" si="1"/>
        <v>40</v>
      </c>
    </row>
    <row r="65" spans="1:8" x14ac:dyDescent="0.25">
      <c r="A65" s="11" t="s">
        <v>54</v>
      </c>
      <c r="B65" s="5">
        <f>+'0111'!H65</f>
        <v>60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60</v>
      </c>
    </row>
    <row r="66" spans="1:8" x14ac:dyDescent="0.25">
      <c r="A66" s="11" t="s">
        <v>55</v>
      </c>
      <c r="B66" s="5">
        <f>+'0111'!H66</f>
        <v>100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100</v>
      </c>
    </row>
    <row r="67" spans="1:8" x14ac:dyDescent="0.25">
      <c r="A67" s="11" t="s">
        <v>56</v>
      </c>
      <c r="B67" s="5">
        <f>+'0111'!H67</f>
        <v>20</v>
      </c>
      <c r="C67" s="5"/>
      <c r="D67" s="5" t="s">
        <v>18</v>
      </c>
      <c r="E67" s="14"/>
      <c r="F67" s="4"/>
      <c r="G67" s="4">
        <f t="shared" si="0"/>
        <v>0</v>
      </c>
      <c r="H67" s="5">
        <f t="shared" si="1"/>
        <v>20</v>
      </c>
    </row>
    <row r="68" spans="1:8" x14ac:dyDescent="0.25">
      <c r="A68" s="11" t="s">
        <v>57</v>
      </c>
      <c r="B68" s="5">
        <f>+'0111'!H68</f>
        <v>60</v>
      </c>
      <c r="C68" s="5"/>
      <c r="D68" s="5" t="s">
        <v>18</v>
      </c>
      <c r="E68" s="14"/>
      <c r="F68" s="4"/>
      <c r="G68" s="4">
        <f t="shared" si="0"/>
        <v>0</v>
      </c>
      <c r="H68" s="5">
        <f t="shared" si="1"/>
        <v>60</v>
      </c>
    </row>
    <row r="69" spans="1:8" x14ac:dyDescent="0.25">
      <c r="A69" s="11" t="s">
        <v>58</v>
      </c>
      <c r="B69" s="5">
        <f>+'0111'!H69</f>
        <v>125</v>
      </c>
      <c r="C69" s="5"/>
      <c r="D69" s="5" t="s">
        <v>18</v>
      </c>
      <c r="E69" s="14"/>
      <c r="F69" s="4"/>
      <c r="G69" s="4">
        <f t="shared" si="0"/>
        <v>0</v>
      </c>
      <c r="H69" s="5">
        <f t="shared" si="1"/>
        <v>125</v>
      </c>
    </row>
    <row r="70" spans="1:8" x14ac:dyDescent="0.25">
      <c r="A70" s="11" t="s">
        <v>71</v>
      </c>
      <c r="B70" s="5">
        <f>+'0111'!H70</f>
        <v>34</v>
      </c>
      <c r="C70" s="5"/>
      <c r="D70" s="5" t="s">
        <v>18</v>
      </c>
      <c r="E70" s="14"/>
      <c r="F70" s="4"/>
      <c r="G70" s="4">
        <f t="shared" si="0"/>
        <v>0</v>
      </c>
      <c r="H70" s="5">
        <f t="shared" si="1"/>
        <v>34</v>
      </c>
    </row>
    <row r="71" spans="1:8" x14ac:dyDescent="0.25">
      <c r="A71" s="11" t="s">
        <v>59</v>
      </c>
      <c r="B71" s="5">
        <f>+'0111'!H71</f>
        <v>40</v>
      </c>
      <c r="C71" s="5"/>
      <c r="D71" s="5" t="s">
        <v>18</v>
      </c>
      <c r="E71" s="14"/>
      <c r="F71" s="4"/>
      <c r="G71" s="4">
        <f t="shared" si="0"/>
        <v>0</v>
      </c>
      <c r="H71" s="5">
        <f t="shared" si="1"/>
        <v>40</v>
      </c>
    </row>
    <row r="72" spans="1:8" x14ac:dyDescent="0.25">
      <c r="A72" s="11"/>
      <c r="B72" s="5">
        <f>+'0111'!H72</f>
        <v>0</v>
      </c>
      <c r="C72" s="5"/>
      <c r="D72" s="5" t="s">
        <v>18</v>
      </c>
      <c r="E72" s="14"/>
      <c r="F72" s="4"/>
      <c r="G72" s="4">
        <f t="shared" si="0"/>
        <v>0</v>
      </c>
      <c r="H72" s="5">
        <f t="shared" si="1"/>
        <v>0</v>
      </c>
    </row>
    <row r="73" spans="1:8" x14ac:dyDescent="0.25">
      <c r="A73" s="3"/>
      <c r="B73" s="5">
        <f>+'0111'!H73</f>
        <v>0</v>
      </c>
      <c r="C73" s="5"/>
      <c r="D73" s="5" t="s">
        <v>18</v>
      </c>
      <c r="E73" s="14"/>
      <c r="F73" s="4"/>
      <c r="G73" s="4">
        <f t="shared" si="0"/>
        <v>0</v>
      </c>
      <c r="H73" s="5">
        <f t="shared" si="1"/>
        <v>0</v>
      </c>
    </row>
    <row r="74" spans="1:8" ht="18.75" x14ac:dyDescent="0.3">
      <c r="A74" s="7" t="s">
        <v>2</v>
      </c>
      <c r="B74" s="7"/>
      <c r="C74" s="7"/>
      <c r="D74" s="7"/>
      <c r="E74" s="8"/>
      <c r="F74" s="8"/>
      <c r="G74" s="8"/>
      <c r="H74" s="8"/>
    </row>
  </sheetData>
  <mergeCells count="2">
    <mergeCell ref="A2:A3"/>
    <mergeCell ref="B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4"/>
  <sheetViews>
    <sheetView workbookViewId="0">
      <selection activeCell="E17" sqref="E17"/>
    </sheetView>
  </sheetViews>
  <sheetFormatPr baseColWidth="10" defaultRowHeight="15" x14ac:dyDescent="0.25"/>
  <cols>
    <col min="1" max="1" width="19.28515625" customWidth="1"/>
  </cols>
  <sheetData>
    <row r="2" spans="1:8" ht="15.75" x14ac:dyDescent="0.25">
      <c r="A2" s="27" t="s">
        <v>1</v>
      </c>
      <c r="B2" s="31">
        <v>45964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+'0211'!H4</f>
        <v>27</v>
      </c>
      <c r="C4" s="5"/>
      <c r="D4" s="5" t="s">
        <v>21</v>
      </c>
      <c r="E4" s="14">
        <v>3</v>
      </c>
      <c r="F4" s="4">
        <v>230.62</v>
      </c>
      <c r="G4" s="4">
        <f>E4*F4</f>
        <v>691.86</v>
      </c>
      <c r="H4" s="5">
        <f>B4-E4</f>
        <v>24</v>
      </c>
    </row>
    <row r="5" spans="1:8" x14ac:dyDescent="0.25">
      <c r="A5" s="12" t="s">
        <v>6</v>
      </c>
      <c r="B5" s="5">
        <f>+'0211'!H5</f>
        <v>60</v>
      </c>
      <c r="C5" s="5"/>
      <c r="D5" s="5" t="s">
        <v>21</v>
      </c>
      <c r="E5" s="14">
        <v>2</v>
      </c>
      <c r="F5" s="4">
        <v>91.2</v>
      </c>
      <c r="G5" s="4">
        <f t="shared" ref="G5:G73" si="0">E5*F5</f>
        <v>182.4</v>
      </c>
      <c r="H5" s="5">
        <f t="shared" ref="H5:H73" si="1">B5-E5</f>
        <v>58</v>
      </c>
    </row>
    <row r="6" spans="1:8" x14ac:dyDescent="0.25">
      <c r="A6" s="12" t="s">
        <v>7</v>
      </c>
      <c r="B6" s="5">
        <f>+'0211'!H6</f>
        <v>213</v>
      </c>
      <c r="C6" s="5"/>
      <c r="D6" s="5" t="s">
        <v>21</v>
      </c>
      <c r="E6" s="14">
        <v>2</v>
      </c>
      <c r="F6" s="4">
        <v>3500</v>
      </c>
      <c r="G6" s="4">
        <f t="shared" si="0"/>
        <v>7000</v>
      </c>
      <c r="H6" s="5">
        <f t="shared" si="1"/>
        <v>211</v>
      </c>
    </row>
    <row r="7" spans="1:8" x14ac:dyDescent="0.25">
      <c r="A7" s="12" t="s">
        <v>8</v>
      </c>
      <c r="B7" s="5">
        <f>+'0211'!H7</f>
        <v>11</v>
      </c>
      <c r="C7" s="5"/>
      <c r="D7" s="5" t="s">
        <v>21</v>
      </c>
      <c r="E7" s="14"/>
      <c r="F7" s="4">
        <v>3300</v>
      </c>
      <c r="G7" s="4">
        <f t="shared" si="0"/>
        <v>0</v>
      </c>
      <c r="H7" s="5">
        <f t="shared" si="1"/>
        <v>11</v>
      </c>
    </row>
    <row r="8" spans="1:8" x14ac:dyDescent="0.25">
      <c r="A8" s="12" t="s">
        <v>9</v>
      </c>
      <c r="B8" s="5">
        <f>+'0211'!H8</f>
        <v>48</v>
      </c>
      <c r="C8" s="5"/>
      <c r="D8" s="5" t="s">
        <v>21</v>
      </c>
      <c r="E8" s="14"/>
      <c r="F8" s="4">
        <v>1554.62</v>
      </c>
      <c r="G8" s="4">
        <f t="shared" si="0"/>
        <v>0</v>
      </c>
      <c r="H8" s="5">
        <f t="shared" si="1"/>
        <v>48</v>
      </c>
    </row>
    <row r="9" spans="1:8" x14ac:dyDescent="0.25">
      <c r="A9" s="12" t="s">
        <v>10</v>
      </c>
      <c r="B9" s="5">
        <f>+'0211'!H9</f>
        <v>2268</v>
      </c>
      <c r="C9" s="5"/>
      <c r="D9" s="5" t="s">
        <v>18</v>
      </c>
      <c r="E9" s="14">
        <v>32</v>
      </c>
      <c r="F9" s="4">
        <v>210</v>
      </c>
      <c r="G9" s="4">
        <f t="shared" si="0"/>
        <v>6720</v>
      </c>
      <c r="H9" s="5">
        <f t="shared" si="1"/>
        <v>2236</v>
      </c>
    </row>
    <row r="10" spans="1:8" x14ac:dyDescent="0.25">
      <c r="A10" s="12" t="s">
        <v>23</v>
      </c>
      <c r="B10" s="5">
        <f>+'0211'!H10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+'0211'!H11</f>
        <v>1110</v>
      </c>
      <c r="C11" s="5"/>
      <c r="D11" s="5" t="s">
        <v>18</v>
      </c>
      <c r="E11" s="14">
        <v>60</v>
      </c>
      <c r="F11" s="4">
        <v>290</v>
      </c>
      <c r="G11" s="4">
        <f t="shared" si="0"/>
        <v>17400</v>
      </c>
      <c r="H11" s="5">
        <f>B11-E11</f>
        <v>1050</v>
      </c>
    </row>
    <row r="12" spans="1:8" x14ac:dyDescent="0.25">
      <c r="A12" s="12" t="s">
        <v>12</v>
      </c>
      <c r="B12" s="5">
        <f>+'0211'!H12</f>
        <v>2625</v>
      </c>
      <c r="C12" s="5"/>
      <c r="D12" s="5" t="s">
        <v>18</v>
      </c>
      <c r="E12" s="14"/>
      <c r="F12" s="4">
        <v>49.5</v>
      </c>
      <c r="G12" s="4">
        <f t="shared" si="0"/>
        <v>0</v>
      </c>
      <c r="H12" s="5">
        <f t="shared" si="1"/>
        <v>2625</v>
      </c>
    </row>
    <row r="13" spans="1:8" x14ac:dyDescent="0.25">
      <c r="A13" s="12" t="s">
        <v>13</v>
      </c>
      <c r="B13" s="5">
        <f>+'0211'!H13</f>
        <v>325</v>
      </c>
      <c r="C13" s="5"/>
      <c r="D13" s="5" t="s">
        <v>18</v>
      </c>
      <c r="E13" s="14"/>
      <c r="F13" s="4">
        <v>285</v>
      </c>
      <c r="G13" s="4">
        <f t="shared" si="0"/>
        <v>0</v>
      </c>
      <c r="H13" s="5">
        <f t="shared" si="1"/>
        <v>325</v>
      </c>
    </row>
    <row r="14" spans="1:8" x14ac:dyDescent="0.25">
      <c r="A14" s="12" t="s">
        <v>14</v>
      </c>
      <c r="B14" s="5">
        <f>+'0211'!H14</f>
        <v>55375</v>
      </c>
      <c r="C14" s="5"/>
      <c r="D14" s="5" t="s">
        <v>18</v>
      </c>
      <c r="E14" s="14">
        <f>32*25</f>
        <v>800</v>
      </c>
      <c r="F14" s="4">
        <v>93</v>
      </c>
      <c r="G14" s="4">
        <f t="shared" si="0"/>
        <v>74400</v>
      </c>
      <c r="H14" s="5">
        <f>B14-E14</f>
        <v>54575</v>
      </c>
    </row>
    <row r="15" spans="1:8" x14ac:dyDescent="0.25">
      <c r="A15" s="12" t="s">
        <v>15</v>
      </c>
      <c r="B15" s="5">
        <f>+'0211'!H15</f>
        <v>2072</v>
      </c>
      <c r="C15" s="5"/>
      <c r="D15" s="5" t="s">
        <v>18</v>
      </c>
      <c r="E15" s="14">
        <v>70</v>
      </c>
      <c r="F15" s="4">
        <v>67.23</v>
      </c>
      <c r="G15" s="4">
        <f t="shared" si="0"/>
        <v>4706.1000000000004</v>
      </c>
      <c r="H15" s="5">
        <f t="shared" si="1"/>
        <v>2002</v>
      </c>
    </row>
    <row r="16" spans="1:8" x14ac:dyDescent="0.25">
      <c r="A16" s="12" t="s">
        <v>16</v>
      </c>
      <c r="B16" s="5">
        <f>+'0211'!H16</f>
        <v>325</v>
      </c>
      <c r="C16" s="5"/>
      <c r="D16" s="5" t="s">
        <v>18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+'0211'!H17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f>+'0211'!H18</f>
        <v>1534.693</v>
      </c>
      <c r="C18" s="5"/>
      <c r="D18" s="5" t="s">
        <v>18</v>
      </c>
      <c r="E18" s="13">
        <v>6.78</v>
      </c>
      <c r="F18" s="10">
        <v>877.28</v>
      </c>
      <c r="G18" s="10">
        <f t="shared" si="0"/>
        <v>5947.9584000000004</v>
      </c>
      <c r="H18" s="5">
        <f t="shared" si="1"/>
        <v>1527.913</v>
      </c>
    </row>
    <row r="19" spans="1:8" x14ac:dyDescent="0.25">
      <c r="A19" s="13" t="s">
        <v>61</v>
      </c>
      <c r="B19" s="5">
        <f>+'0211'!H19</f>
        <v>344.971</v>
      </c>
      <c r="C19" s="5"/>
      <c r="D19" s="5" t="s">
        <v>18</v>
      </c>
      <c r="E19" s="13"/>
      <c r="F19" s="10">
        <v>601.1</v>
      </c>
      <c r="G19" s="10">
        <f t="shared" si="0"/>
        <v>0</v>
      </c>
      <c r="H19" s="5">
        <f t="shared" si="1"/>
        <v>344.971</v>
      </c>
    </row>
    <row r="20" spans="1:8" x14ac:dyDescent="0.25">
      <c r="A20" s="13" t="s">
        <v>62</v>
      </c>
      <c r="B20" s="5">
        <f>+'0211'!H20</f>
        <v>990.22</v>
      </c>
      <c r="C20" s="5"/>
      <c r="D20" s="5" t="s">
        <v>18</v>
      </c>
      <c r="E20" s="13"/>
      <c r="F20" s="10">
        <v>568.61</v>
      </c>
      <c r="G20" s="10">
        <f t="shared" si="0"/>
        <v>0</v>
      </c>
      <c r="H20" s="5">
        <f t="shared" si="1"/>
        <v>990.22</v>
      </c>
    </row>
    <row r="21" spans="1:8" x14ac:dyDescent="0.25">
      <c r="A21" s="13" t="s">
        <v>63</v>
      </c>
      <c r="B21" s="5">
        <f>+'0211'!H21</f>
        <v>2462.3689999999997</v>
      </c>
      <c r="C21" s="5"/>
      <c r="D21" s="5" t="s">
        <v>18</v>
      </c>
      <c r="E21" s="13"/>
      <c r="F21" s="10">
        <v>333.04</v>
      </c>
      <c r="G21" s="10">
        <f t="shared" si="0"/>
        <v>0</v>
      </c>
      <c r="H21" s="5">
        <f t="shared" si="1"/>
        <v>2462.3689999999997</v>
      </c>
    </row>
    <row r="22" spans="1:8" x14ac:dyDescent="0.25">
      <c r="A22" s="13" t="s">
        <v>64</v>
      </c>
      <c r="B22" s="5">
        <f>+'0211'!H22</f>
        <v>1262.53</v>
      </c>
      <c r="C22" s="5"/>
      <c r="D22" s="5" t="s">
        <v>18</v>
      </c>
      <c r="E22" s="13"/>
      <c r="F22" s="10">
        <v>714.82</v>
      </c>
      <c r="G22" s="10">
        <f t="shared" si="0"/>
        <v>0</v>
      </c>
      <c r="H22" s="5">
        <f t="shared" si="1"/>
        <v>1262.53</v>
      </c>
    </row>
    <row r="23" spans="1:8" x14ac:dyDescent="0.25">
      <c r="A23" s="13" t="s">
        <v>65</v>
      </c>
      <c r="B23" s="5">
        <f>+'0211'!H23</f>
        <v>230</v>
      </c>
      <c r="C23" s="5"/>
      <c r="D23" s="5" t="s">
        <v>18</v>
      </c>
      <c r="E23" s="13"/>
      <c r="F23" s="10">
        <v>487.38</v>
      </c>
      <c r="G23" s="10">
        <f t="shared" si="0"/>
        <v>0</v>
      </c>
      <c r="H23" s="5">
        <f t="shared" si="1"/>
        <v>230</v>
      </c>
    </row>
    <row r="24" spans="1:8" x14ac:dyDescent="0.25">
      <c r="A24" s="13" t="s">
        <v>66</v>
      </c>
      <c r="B24" s="5">
        <f>+'0211'!H24</f>
        <v>974.65200000000004</v>
      </c>
      <c r="C24" s="5"/>
      <c r="D24" s="5" t="s">
        <v>18</v>
      </c>
      <c r="E24" s="13">
        <f>0.578</f>
        <v>0.57799999999999996</v>
      </c>
      <c r="F24" s="10">
        <v>844.79</v>
      </c>
      <c r="G24" s="10">
        <f t="shared" si="0"/>
        <v>488.28861999999992</v>
      </c>
      <c r="H24" s="5">
        <f t="shared" si="1"/>
        <v>974.07400000000007</v>
      </c>
    </row>
    <row r="25" spans="1:8" x14ac:dyDescent="0.25">
      <c r="A25" s="13" t="s">
        <v>67</v>
      </c>
      <c r="B25" s="5">
        <f>+'0211'!H25</f>
        <v>1104</v>
      </c>
      <c r="C25" s="5"/>
      <c r="D25" s="5" t="s">
        <v>18</v>
      </c>
      <c r="E25" s="13"/>
      <c r="F25" s="10">
        <v>901.65</v>
      </c>
      <c r="G25" s="10">
        <f t="shared" si="0"/>
        <v>0</v>
      </c>
      <c r="H25" s="5">
        <f t="shared" si="1"/>
        <v>1104</v>
      </c>
    </row>
    <row r="26" spans="1:8" x14ac:dyDescent="0.25">
      <c r="A26" s="13" t="s">
        <v>68</v>
      </c>
      <c r="B26" s="5">
        <f>+'0211'!H26</f>
        <v>229.04</v>
      </c>
      <c r="C26" s="5"/>
      <c r="D26" s="5" t="s">
        <v>18</v>
      </c>
      <c r="E26" s="13"/>
      <c r="F26" s="10">
        <v>877.28</v>
      </c>
      <c r="G26" s="10">
        <f t="shared" si="0"/>
        <v>0</v>
      </c>
      <c r="H26" s="5">
        <f t="shared" si="1"/>
        <v>229.04</v>
      </c>
    </row>
    <row r="27" spans="1:8" x14ac:dyDescent="0.25">
      <c r="A27" s="13" t="s">
        <v>69</v>
      </c>
      <c r="B27" s="5">
        <f>+'0211'!H27</f>
        <v>969.81</v>
      </c>
      <c r="C27" s="5"/>
      <c r="D27" s="5" t="s">
        <v>18</v>
      </c>
      <c r="E27" s="13"/>
      <c r="F27" s="10">
        <v>300.55</v>
      </c>
      <c r="G27" s="10">
        <f t="shared" si="0"/>
        <v>0</v>
      </c>
      <c r="H27" s="5">
        <f t="shared" si="1"/>
        <v>969.81</v>
      </c>
    </row>
    <row r="28" spans="1:8" x14ac:dyDescent="0.25">
      <c r="A28" s="13" t="s">
        <v>70</v>
      </c>
      <c r="B28" s="5">
        <f>+'0211'!H28</f>
        <v>14815.870999999999</v>
      </c>
      <c r="C28" s="5"/>
      <c r="D28" s="5" t="s">
        <v>18</v>
      </c>
      <c r="E28" s="13">
        <f>6.235</f>
        <v>6.2350000000000003</v>
      </c>
      <c r="F28" s="10">
        <v>178.7</v>
      </c>
      <c r="G28" s="10">
        <f t="shared" si="0"/>
        <v>1114.1945000000001</v>
      </c>
      <c r="H28" s="5">
        <f t="shared" si="1"/>
        <v>14809.635999999999</v>
      </c>
    </row>
    <row r="29" spans="1:8" x14ac:dyDescent="0.25">
      <c r="A29" s="11" t="s">
        <v>27</v>
      </c>
      <c r="B29" s="5">
        <f>+'0211'!H29</f>
        <v>19</v>
      </c>
      <c r="C29" s="5"/>
      <c r="D29" s="5" t="s">
        <v>18</v>
      </c>
      <c r="E29" s="14"/>
      <c r="F29" s="4"/>
      <c r="G29" s="4">
        <f t="shared" si="0"/>
        <v>0</v>
      </c>
      <c r="H29" s="5">
        <f t="shared" si="1"/>
        <v>19</v>
      </c>
    </row>
    <row r="30" spans="1:8" x14ac:dyDescent="0.25">
      <c r="A30" s="11" t="s">
        <v>80</v>
      </c>
      <c r="B30" s="5">
        <f>+'0211'!H30</f>
        <v>0</v>
      </c>
      <c r="C30" s="5"/>
      <c r="D30" s="5" t="s">
        <v>18</v>
      </c>
      <c r="E30" s="14"/>
      <c r="F30" s="4"/>
      <c r="G30" s="4">
        <f t="shared" si="0"/>
        <v>0</v>
      </c>
      <c r="H30" s="5">
        <f t="shared" si="1"/>
        <v>0</v>
      </c>
    </row>
    <row r="31" spans="1:8" x14ac:dyDescent="0.25">
      <c r="A31" s="11" t="s">
        <v>28</v>
      </c>
      <c r="B31" s="5">
        <f>+'0211'!H31</f>
        <v>0</v>
      </c>
      <c r="C31" s="5"/>
      <c r="D31" s="5" t="s">
        <v>18</v>
      </c>
      <c r="E31" s="14"/>
      <c r="F31" s="4"/>
      <c r="G31" s="4">
        <f t="shared" si="0"/>
        <v>0</v>
      </c>
      <c r="H31" s="5">
        <f t="shared" si="1"/>
        <v>0</v>
      </c>
    </row>
    <row r="32" spans="1:8" x14ac:dyDescent="0.25">
      <c r="A32" s="11" t="s">
        <v>79</v>
      </c>
      <c r="B32" s="5">
        <f>+'0211'!H32</f>
        <v>40</v>
      </c>
      <c r="C32" s="5"/>
      <c r="D32" s="5" t="s">
        <v>18</v>
      </c>
      <c r="E32" s="14"/>
      <c r="F32" s="4"/>
      <c r="G32" s="4">
        <f t="shared" si="0"/>
        <v>0</v>
      </c>
      <c r="H32" s="5">
        <f t="shared" si="1"/>
        <v>40</v>
      </c>
    </row>
    <row r="33" spans="1:8" x14ac:dyDescent="0.25">
      <c r="A33" s="11" t="s">
        <v>73</v>
      </c>
      <c r="B33" s="5">
        <f>+'0211'!H33</f>
        <v>100</v>
      </c>
      <c r="C33" s="5"/>
      <c r="D33" s="5" t="s">
        <v>18</v>
      </c>
      <c r="E33" s="14"/>
      <c r="F33" s="4"/>
      <c r="G33" s="4">
        <f t="shared" si="0"/>
        <v>0</v>
      </c>
      <c r="H33" s="5">
        <f t="shared" si="1"/>
        <v>100</v>
      </c>
    </row>
    <row r="34" spans="1:8" x14ac:dyDescent="0.25">
      <c r="A34" s="11" t="s">
        <v>29</v>
      </c>
      <c r="B34" s="5">
        <f>+'0211'!H34</f>
        <v>60</v>
      </c>
      <c r="C34" s="5"/>
      <c r="D34" s="5" t="s">
        <v>18</v>
      </c>
      <c r="E34" s="14"/>
      <c r="F34" s="4"/>
      <c r="G34" s="4">
        <f t="shared" si="0"/>
        <v>0</v>
      </c>
      <c r="H34" s="5">
        <f t="shared" si="1"/>
        <v>60</v>
      </c>
    </row>
    <row r="35" spans="1:8" x14ac:dyDescent="0.25">
      <c r="A35" s="11" t="s">
        <v>30</v>
      </c>
      <c r="B35" s="5">
        <f>+'0211'!H35</f>
        <v>115</v>
      </c>
      <c r="C35" s="5"/>
      <c r="D35" s="5" t="s">
        <v>18</v>
      </c>
      <c r="E35" s="14"/>
      <c r="F35" s="4"/>
      <c r="G35" s="4">
        <f t="shared" si="0"/>
        <v>0</v>
      </c>
      <c r="H35" s="5">
        <f t="shared" si="1"/>
        <v>115</v>
      </c>
    </row>
    <row r="36" spans="1:8" x14ac:dyDescent="0.25">
      <c r="A36" s="11" t="s">
        <v>77</v>
      </c>
      <c r="B36" s="5">
        <f>+'0211'!H36</f>
        <v>60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60</v>
      </c>
    </row>
    <row r="37" spans="1:8" x14ac:dyDescent="0.25">
      <c r="A37" s="11" t="s">
        <v>31</v>
      </c>
      <c r="B37" s="5">
        <f>+'0211'!H37</f>
        <v>0</v>
      </c>
      <c r="C37" s="5"/>
      <c r="D37" s="5" t="s">
        <v>18</v>
      </c>
      <c r="E37" s="14"/>
      <c r="F37" s="4"/>
      <c r="G37" s="4">
        <f t="shared" si="0"/>
        <v>0</v>
      </c>
      <c r="H37" s="5">
        <f t="shared" si="1"/>
        <v>0</v>
      </c>
    </row>
    <row r="38" spans="1:8" x14ac:dyDescent="0.25">
      <c r="A38" s="11" t="s">
        <v>32</v>
      </c>
      <c r="B38" s="5">
        <f>+'0211'!H38</f>
        <v>40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40</v>
      </c>
    </row>
    <row r="39" spans="1:8" x14ac:dyDescent="0.25">
      <c r="A39" s="11" t="s">
        <v>76</v>
      </c>
      <c r="B39" s="5">
        <f>+'0211'!H39</f>
        <v>17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17</v>
      </c>
    </row>
    <row r="40" spans="1:8" x14ac:dyDescent="0.25">
      <c r="A40" s="11" t="s">
        <v>33</v>
      </c>
      <c r="B40" s="5">
        <f>+'0211'!H40</f>
        <v>40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40</v>
      </c>
    </row>
    <row r="41" spans="1:8" x14ac:dyDescent="0.25">
      <c r="A41" s="11" t="s">
        <v>34</v>
      </c>
      <c r="B41" s="5">
        <f>+'0211'!H41</f>
        <v>60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60</v>
      </c>
    </row>
    <row r="42" spans="1:8" x14ac:dyDescent="0.25">
      <c r="A42" s="11" t="s">
        <v>35</v>
      </c>
      <c r="B42" s="5">
        <f>+'0211'!H42</f>
        <v>100</v>
      </c>
      <c r="C42" s="5"/>
      <c r="D42" s="5" t="s">
        <v>18</v>
      </c>
      <c r="E42" s="14"/>
      <c r="F42" s="4"/>
      <c r="G42" s="4">
        <f t="shared" si="0"/>
        <v>0</v>
      </c>
      <c r="H42" s="5">
        <f t="shared" si="1"/>
        <v>100</v>
      </c>
    </row>
    <row r="43" spans="1:8" x14ac:dyDescent="0.25">
      <c r="A43" s="11" t="s">
        <v>36</v>
      </c>
      <c r="B43" s="5">
        <f>+'0211'!H43</f>
        <v>20</v>
      </c>
      <c r="C43" s="5"/>
      <c r="D43" s="5" t="s">
        <v>18</v>
      </c>
      <c r="E43" s="14"/>
      <c r="F43" s="4"/>
      <c r="G43" s="4">
        <f t="shared" si="0"/>
        <v>0</v>
      </c>
      <c r="H43" s="5">
        <f t="shared" si="1"/>
        <v>20</v>
      </c>
    </row>
    <row r="44" spans="1:8" x14ac:dyDescent="0.25">
      <c r="A44" s="11" t="s">
        <v>37</v>
      </c>
      <c r="B44" s="5">
        <f>+'0211'!H44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38</v>
      </c>
      <c r="B45" s="5">
        <f>+'0211'!H45</f>
        <v>40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40</v>
      </c>
    </row>
    <row r="46" spans="1:8" x14ac:dyDescent="0.25">
      <c r="A46" s="11" t="s">
        <v>39</v>
      </c>
      <c r="B46" s="5">
        <f>+'0211'!H46</f>
        <v>100</v>
      </c>
      <c r="C46" s="5"/>
      <c r="D46" s="5" t="s">
        <v>18</v>
      </c>
      <c r="E46" s="14"/>
      <c r="F46" s="4"/>
      <c r="G46" s="4">
        <f t="shared" si="0"/>
        <v>0</v>
      </c>
      <c r="H46" s="5">
        <f t="shared" si="1"/>
        <v>100</v>
      </c>
    </row>
    <row r="47" spans="1:8" x14ac:dyDescent="0.25">
      <c r="A47" s="11" t="s">
        <v>40</v>
      </c>
      <c r="B47" s="5">
        <f>+'0211'!H47</f>
        <v>20</v>
      </c>
      <c r="C47" s="5"/>
      <c r="D47" s="5" t="s">
        <v>18</v>
      </c>
      <c r="E47" s="14">
        <v>20</v>
      </c>
      <c r="F47" s="4"/>
      <c r="G47" s="4">
        <f t="shared" si="0"/>
        <v>0</v>
      </c>
      <c r="H47" s="5">
        <f t="shared" si="1"/>
        <v>0</v>
      </c>
    </row>
    <row r="48" spans="1:8" x14ac:dyDescent="0.25">
      <c r="A48" s="11" t="s">
        <v>41</v>
      </c>
      <c r="B48" s="5">
        <f>+'0211'!H48</f>
        <v>20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20</v>
      </c>
    </row>
    <row r="49" spans="1:8" x14ac:dyDescent="0.25">
      <c r="A49" s="11" t="s">
        <v>42</v>
      </c>
      <c r="B49" s="5">
        <f>+'0211'!H49</f>
        <v>160</v>
      </c>
      <c r="C49" s="5"/>
      <c r="D49" s="5" t="s">
        <v>18</v>
      </c>
      <c r="E49" s="14">
        <v>20</v>
      </c>
      <c r="F49" s="4"/>
      <c r="G49" s="4">
        <f t="shared" si="0"/>
        <v>0</v>
      </c>
      <c r="H49" s="5">
        <f t="shared" si="1"/>
        <v>140</v>
      </c>
    </row>
    <row r="50" spans="1:8" x14ac:dyDescent="0.25">
      <c r="A50" s="11" t="s">
        <v>43</v>
      </c>
      <c r="B50" s="5">
        <f>+'0211'!H50</f>
        <v>83</v>
      </c>
      <c r="C50" s="5"/>
      <c r="D50" s="5" t="s">
        <v>18</v>
      </c>
      <c r="E50" s="14"/>
      <c r="F50" s="4"/>
      <c r="G50" s="4">
        <f t="shared" si="0"/>
        <v>0</v>
      </c>
      <c r="H50" s="5">
        <f t="shared" si="1"/>
        <v>83</v>
      </c>
    </row>
    <row r="51" spans="1:8" x14ac:dyDescent="0.25">
      <c r="A51" s="11" t="s">
        <v>74</v>
      </c>
      <c r="B51" s="5">
        <f>+'0211'!H51</f>
        <v>60</v>
      </c>
      <c r="C51" s="5"/>
      <c r="D51" s="5" t="s">
        <v>18</v>
      </c>
      <c r="E51" s="14">
        <v>20</v>
      </c>
      <c r="F51" s="4"/>
      <c r="G51" s="4">
        <f t="shared" si="0"/>
        <v>0</v>
      </c>
      <c r="H51" s="5">
        <f t="shared" si="1"/>
        <v>40</v>
      </c>
    </row>
    <row r="52" spans="1:8" x14ac:dyDescent="0.25">
      <c r="A52" s="11" t="s">
        <v>78</v>
      </c>
      <c r="B52" s="5">
        <f>+'0211'!H52</f>
        <v>40</v>
      </c>
      <c r="C52" s="5"/>
      <c r="D52" s="5" t="s">
        <v>18</v>
      </c>
      <c r="E52" s="14"/>
      <c r="F52" s="4"/>
      <c r="G52" s="4">
        <f t="shared" si="0"/>
        <v>0</v>
      </c>
      <c r="H52" s="5">
        <f t="shared" si="1"/>
        <v>40</v>
      </c>
    </row>
    <row r="53" spans="1:8" x14ac:dyDescent="0.25">
      <c r="A53" s="11" t="s">
        <v>44</v>
      </c>
      <c r="B53" s="5">
        <f>+'0211'!H53</f>
        <v>40</v>
      </c>
      <c r="C53" s="5"/>
      <c r="D53" s="5" t="s">
        <v>18</v>
      </c>
      <c r="E53" s="14"/>
      <c r="F53" s="4"/>
      <c r="G53" s="4">
        <f t="shared" si="0"/>
        <v>0</v>
      </c>
      <c r="H53" s="5">
        <f t="shared" si="1"/>
        <v>40</v>
      </c>
    </row>
    <row r="54" spans="1:8" x14ac:dyDescent="0.25">
      <c r="A54" s="11" t="s">
        <v>45</v>
      </c>
      <c r="B54" s="5">
        <f>+'0211'!H54</f>
        <v>120</v>
      </c>
      <c r="C54" s="5"/>
      <c r="D54" s="5" t="s">
        <v>18</v>
      </c>
      <c r="E54" s="14"/>
      <c r="F54" s="4"/>
      <c r="G54" s="4">
        <f t="shared" si="0"/>
        <v>0</v>
      </c>
      <c r="H54" s="5">
        <f t="shared" si="1"/>
        <v>120</v>
      </c>
    </row>
    <row r="55" spans="1:8" x14ac:dyDescent="0.25">
      <c r="A55" s="11" t="s">
        <v>46</v>
      </c>
      <c r="B55" s="5">
        <f>+'0211'!H55</f>
        <v>20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20</v>
      </c>
    </row>
    <row r="56" spans="1:8" x14ac:dyDescent="0.25">
      <c r="A56" s="11" t="s">
        <v>47</v>
      </c>
      <c r="B56" s="5">
        <f>+'0211'!H56</f>
        <v>199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199</v>
      </c>
    </row>
    <row r="57" spans="1:8" x14ac:dyDescent="0.25">
      <c r="A57" s="11" t="s">
        <v>72</v>
      </c>
      <c r="B57" s="5">
        <f>+'0211'!H57</f>
        <v>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0</v>
      </c>
    </row>
    <row r="58" spans="1:8" x14ac:dyDescent="0.25">
      <c r="A58" s="11" t="s">
        <v>48</v>
      </c>
      <c r="B58" s="5">
        <f>+'0211'!H58</f>
        <v>60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60</v>
      </c>
    </row>
    <row r="59" spans="1:8" x14ac:dyDescent="0.25">
      <c r="A59" s="11" t="s">
        <v>75</v>
      </c>
      <c r="B59" s="5">
        <f>+'0211'!H59</f>
        <v>17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17</v>
      </c>
    </row>
    <row r="60" spans="1:8" x14ac:dyDescent="0.25">
      <c r="A60" s="11" t="s">
        <v>49</v>
      </c>
      <c r="B60" s="5">
        <f>+'0211'!H60</f>
        <v>180</v>
      </c>
      <c r="C60" s="5"/>
      <c r="D60" s="5" t="s">
        <v>18</v>
      </c>
      <c r="E60" s="14"/>
      <c r="F60" s="4"/>
      <c r="G60" s="4">
        <f t="shared" si="0"/>
        <v>0</v>
      </c>
      <c r="H60" s="5">
        <f t="shared" si="1"/>
        <v>180</v>
      </c>
    </row>
    <row r="61" spans="1:8" x14ac:dyDescent="0.25">
      <c r="A61" s="11" t="s">
        <v>50</v>
      </c>
      <c r="B61" s="5">
        <f>+'0211'!H61</f>
        <v>80</v>
      </c>
      <c r="C61" s="5"/>
      <c r="D61" s="5" t="s">
        <v>18</v>
      </c>
      <c r="E61" s="14">
        <v>20</v>
      </c>
      <c r="F61" s="4"/>
      <c r="G61" s="4">
        <f t="shared" si="0"/>
        <v>0</v>
      </c>
      <c r="H61" s="5">
        <f t="shared" si="1"/>
        <v>60</v>
      </c>
    </row>
    <row r="62" spans="1:8" x14ac:dyDescent="0.25">
      <c r="A62" s="11" t="s">
        <v>51</v>
      </c>
      <c r="B62" s="5">
        <f>+'0211'!H62</f>
        <v>20</v>
      </c>
      <c r="C62" s="5"/>
      <c r="D62" s="5" t="s">
        <v>18</v>
      </c>
      <c r="E62" s="14"/>
      <c r="F62" s="4"/>
      <c r="G62" s="4">
        <f t="shared" si="0"/>
        <v>0</v>
      </c>
      <c r="H62" s="5">
        <f t="shared" si="1"/>
        <v>20</v>
      </c>
    </row>
    <row r="63" spans="1:8" x14ac:dyDescent="0.25">
      <c r="A63" s="11" t="s">
        <v>52</v>
      </c>
      <c r="B63" s="5">
        <f>+'0211'!H63</f>
        <v>100</v>
      </c>
      <c r="C63" s="5"/>
      <c r="D63" s="5" t="s">
        <v>18</v>
      </c>
      <c r="E63" s="14"/>
      <c r="F63" s="4"/>
      <c r="G63" s="4">
        <f t="shared" si="0"/>
        <v>0</v>
      </c>
      <c r="H63" s="5">
        <f t="shared" si="1"/>
        <v>100</v>
      </c>
    </row>
    <row r="64" spans="1:8" x14ac:dyDescent="0.25">
      <c r="A64" s="11" t="s">
        <v>53</v>
      </c>
      <c r="B64" s="5">
        <f>+'0211'!H64</f>
        <v>40</v>
      </c>
      <c r="C64" s="5"/>
      <c r="D64" s="5" t="s">
        <v>18</v>
      </c>
      <c r="E64" s="14"/>
      <c r="F64" s="4"/>
      <c r="G64" s="4">
        <f t="shared" si="0"/>
        <v>0</v>
      </c>
      <c r="H64" s="5">
        <f t="shared" si="1"/>
        <v>40</v>
      </c>
    </row>
    <row r="65" spans="1:8" x14ac:dyDescent="0.25">
      <c r="A65" s="11" t="s">
        <v>54</v>
      </c>
      <c r="B65" s="5">
        <f>+'0211'!H65</f>
        <v>60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60</v>
      </c>
    </row>
    <row r="66" spans="1:8" x14ac:dyDescent="0.25">
      <c r="A66" s="11" t="s">
        <v>55</v>
      </c>
      <c r="B66" s="5">
        <f>+'0211'!H66</f>
        <v>100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100</v>
      </c>
    </row>
    <row r="67" spans="1:8" x14ac:dyDescent="0.25">
      <c r="A67" s="11" t="s">
        <v>56</v>
      </c>
      <c r="B67" s="5">
        <f>+'0211'!H67</f>
        <v>20</v>
      </c>
      <c r="C67" s="5"/>
      <c r="D67" s="5" t="s">
        <v>18</v>
      </c>
      <c r="E67" s="14">
        <v>20</v>
      </c>
      <c r="F67" s="4"/>
      <c r="G67" s="4">
        <f t="shared" si="0"/>
        <v>0</v>
      </c>
      <c r="H67" s="5">
        <f t="shared" si="1"/>
        <v>0</v>
      </c>
    </row>
    <row r="68" spans="1:8" x14ac:dyDescent="0.25">
      <c r="A68" s="11" t="s">
        <v>57</v>
      </c>
      <c r="B68" s="5">
        <f>+'0211'!H68</f>
        <v>60</v>
      </c>
      <c r="C68" s="5"/>
      <c r="D68" s="5" t="s">
        <v>18</v>
      </c>
      <c r="E68" s="14"/>
      <c r="F68" s="4"/>
      <c r="G68" s="4">
        <f t="shared" si="0"/>
        <v>0</v>
      </c>
      <c r="H68" s="5">
        <f t="shared" si="1"/>
        <v>60</v>
      </c>
    </row>
    <row r="69" spans="1:8" x14ac:dyDescent="0.25">
      <c r="A69" s="11" t="s">
        <v>58</v>
      </c>
      <c r="B69" s="5">
        <f>+'0211'!H69</f>
        <v>125</v>
      </c>
      <c r="C69" s="5"/>
      <c r="D69" s="5" t="s">
        <v>18</v>
      </c>
      <c r="E69" s="14">
        <v>17</v>
      </c>
      <c r="F69" s="4"/>
      <c r="G69" s="4">
        <f t="shared" si="0"/>
        <v>0</v>
      </c>
      <c r="H69" s="5">
        <f t="shared" si="1"/>
        <v>108</v>
      </c>
    </row>
    <row r="70" spans="1:8" x14ac:dyDescent="0.25">
      <c r="A70" s="11" t="s">
        <v>71</v>
      </c>
      <c r="B70" s="5">
        <f>+'0211'!H70</f>
        <v>34</v>
      </c>
      <c r="C70" s="5"/>
      <c r="D70" s="5" t="s">
        <v>18</v>
      </c>
      <c r="E70" s="14"/>
      <c r="F70" s="4"/>
      <c r="G70" s="4">
        <f t="shared" si="0"/>
        <v>0</v>
      </c>
      <c r="H70" s="5">
        <f t="shared" si="1"/>
        <v>34</v>
      </c>
    </row>
    <row r="71" spans="1:8" x14ac:dyDescent="0.25">
      <c r="A71" s="11" t="s">
        <v>59</v>
      </c>
      <c r="B71" s="5">
        <f>+'0211'!H71</f>
        <v>40</v>
      </c>
      <c r="C71" s="5"/>
      <c r="D71" s="5" t="s">
        <v>18</v>
      </c>
      <c r="E71" s="14">
        <v>20</v>
      </c>
      <c r="F71" s="4"/>
      <c r="G71" s="4">
        <f t="shared" si="0"/>
        <v>0</v>
      </c>
      <c r="H71" s="5">
        <f t="shared" si="1"/>
        <v>20</v>
      </c>
    </row>
    <row r="72" spans="1:8" x14ac:dyDescent="0.25">
      <c r="A72" s="11" t="s">
        <v>81</v>
      </c>
      <c r="B72" s="5">
        <v>15</v>
      </c>
      <c r="C72" s="5"/>
      <c r="D72" s="5" t="s">
        <v>18</v>
      </c>
      <c r="E72" s="14"/>
      <c r="F72" s="4"/>
      <c r="G72" s="4">
        <f t="shared" si="0"/>
        <v>0</v>
      </c>
      <c r="H72" s="5">
        <f t="shared" si="1"/>
        <v>15</v>
      </c>
    </row>
    <row r="73" spans="1:8" x14ac:dyDescent="0.25">
      <c r="A73" s="3"/>
      <c r="B73" s="5">
        <f>+'0211'!H73</f>
        <v>0</v>
      </c>
      <c r="C73" s="5"/>
      <c r="D73" s="5" t="s">
        <v>18</v>
      </c>
      <c r="E73" s="14"/>
      <c r="F73" s="4"/>
      <c r="G73" s="4">
        <f t="shared" si="0"/>
        <v>0</v>
      </c>
      <c r="H73" s="5">
        <f t="shared" si="1"/>
        <v>0</v>
      </c>
    </row>
    <row r="74" spans="1:8" ht="18.75" x14ac:dyDescent="0.3">
      <c r="A74" s="7" t="s">
        <v>2</v>
      </c>
      <c r="B74" s="7"/>
      <c r="C74" s="7"/>
      <c r="D74" s="7"/>
      <c r="E74" s="8"/>
      <c r="F74" s="8"/>
      <c r="G74" s="8"/>
      <c r="H74" s="8"/>
    </row>
  </sheetData>
  <mergeCells count="2">
    <mergeCell ref="A2:A3"/>
    <mergeCell ref="B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4"/>
  <sheetViews>
    <sheetView workbookViewId="0">
      <selection activeCell="A2" sqref="A2:H75"/>
    </sheetView>
  </sheetViews>
  <sheetFormatPr baseColWidth="10" defaultRowHeight="15" x14ac:dyDescent="0.25"/>
  <cols>
    <col min="1" max="1" width="17.28515625" customWidth="1"/>
  </cols>
  <sheetData>
    <row r="2" spans="1:8" ht="15.75" x14ac:dyDescent="0.25">
      <c r="A2" s="27" t="s">
        <v>1</v>
      </c>
      <c r="B2" s="31">
        <v>45965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+'0311'!H4</f>
        <v>24</v>
      </c>
      <c r="C4" s="5">
        <v>158</v>
      </c>
      <c r="D4" s="5" t="s">
        <v>21</v>
      </c>
      <c r="E4" s="14">
        <v>4</v>
      </c>
      <c r="F4" s="4">
        <v>230.62</v>
      </c>
      <c r="G4" s="4">
        <f>E4*F4</f>
        <v>922.48</v>
      </c>
      <c r="H4" s="5">
        <f>B4-E4+C4</f>
        <v>178</v>
      </c>
    </row>
    <row r="5" spans="1:8" x14ac:dyDescent="0.25">
      <c r="A5" s="12" t="s">
        <v>6</v>
      </c>
      <c r="B5" s="5">
        <f>+'0311'!H5</f>
        <v>58</v>
      </c>
      <c r="C5" s="5"/>
      <c r="D5" s="5" t="s">
        <v>21</v>
      </c>
      <c r="E5" s="14"/>
      <c r="F5" s="4">
        <v>91.2</v>
      </c>
      <c r="G5" s="4">
        <f t="shared" ref="G5:G73" si="0">E5*F5</f>
        <v>0</v>
      </c>
      <c r="H5" s="5">
        <f t="shared" ref="H5:H73" si="1">B5-E5</f>
        <v>58</v>
      </c>
    </row>
    <row r="6" spans="1:8" x14ac:dyDescent="0.25">
      <c r="A6" s="12" t="s">
        <v>7</v>
      </c>
      <c r="B6" s="5">
        <f>+'0311'!H6</f>
        <v>211</v>
      </c>
      <c r="C6" s="5"/>
      <c r="D6" s="5" t="s">
        <v>21</v>
      </c>
      <c r="E6" s="14">
        <v>2</v>
      </c>
      <c r="F6" s="4">
        <v>3500</v>
      </c>
      <c r="G6" s="4">
        <f t="shared" si="0"/>
        <v>7000</v>
      </c>
      <c r="H6" s="5">
        <f t="shared" si="1"/>
        <v>209</v>
      </c>
    </row>
    <row r="7" spans="1:8" x14ac:dyDescent="0.25">
      <c r="A7" s="12" t="s">
        <v>8</v>
      </c>
      <c r="B7" s="5">
        <f>+'0311'!H7</f>
        <v>11</v>
      </c>
      <c r="C7" s="5">
        <v>50</v>
      </c>
      <c r="D7" s="5" t="s">
        <v>21</v>
      </c>
      <c r="E7" s="14">
        <v>2</v>
      </c>
      <c r="F7" s="4">
        <v>3300</v>
      </c>
      <c r="G7" s="4">
        <f t="shared" si="0"/>
        <v>6600</v>
      </c>
      <c r="H7" s="5">
        <f>B7-E7+C7</f>
        <v>59</v>
      </c>
    </row>
    <row r="8" spans="1:8" x14ac:dyDescent="0.25">
      <c r="A8" s="12" t="s">
        <v>9</v>
      </c>
      <c r="B8" s="5">
        <f>+'0311'!H8</f>
        <v>48</v>
      </c>
      <c r="C8" s="5"/>
      <c r="D8" s="5" t="s">
        <v>21</v>
      </c>
      <c r="E8" s="14">
        <v>3</v>
      </c>
      <c r="F8" s="4">
        <v>1554.62</v>
      </c>
      <c r="G8" s="4">
        <f t="shared" si="0"/>
        <v>4663.8599999999997</v>
      </c>
      <c r="H8" s="5">
        <f t="shared" si="1"/>
        <v>45</v>
      </c>
    </row>
    <row r="9" spans="1:8" x14ac:dyDescent="0.25">
      <c r="A9" s="12" t="s">
        <v>10</v>
      </c>
      <c r="B9" s="5">
        <f>+'0311'!H9</f>
        <v>2236</v>
      </c>
      <c r="C9" s="5"/>
      <c r="D9" s="5" t="s">
        <v>18</v>
      </c>
      <c r="E9" s="14">
        <v>48</v>
      </c>
      <c r="F9" s="4">
        <v>210</v>
      </c>
      <c r="G9" s="4">
        <f t="shared" si="0"/>
        <v>10080</v>
      </c>
      <c r="H9" s="5">
        <f t="shared" si="1"/>
        <v>2188</v>
      </c>
    </row>
    <row r="10" spans="1:8" x14ac:dyDescent="0.25">
      <c r="A10" s="12" t="s">
        <v>23</v>
      </c>
      <c r="B10" s="5">
        <f>+'0311'!H10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+'0311'!H11</f>
        <v>1050</v>
      </c>
      <c r="C11" s="5"/>
      <c r="D11" s="5" t="s">
        <v>18</v>
      </c>
      <c r="E11" s="14">
        <v>30</v>
      </c>
      <c r="F11" s="4">
        <v>290</v>
      </c>
      <c r="G11" s="4">
        <f t="shared" si="0"/>
        <v>8700</v>
      </c>
      <c r="H11" s="5">
        <f>B11-E11</f>
        <v>1020</v>
      </c>
    </row>
    <row r="12" spans="1:8" x14ac:dyDescent="0.25">
      <c r="A12" s="12" t="s">
        <v>12</v>
      </c>
      <c r="B12" s="5">
        <f>+'0311'!H12</f>
        <v>2625</v>
      </c>
      <c r="C12" s="5"/>
      <c r="D12" s="5" t="s">
        <v>18</v>
      </c>
      <c r="E12" s="14">
        <v>50</v>
      </c>
      <c r="F12" s="4">
        <v>49.5</v>
      </c>
      <c r="G12" s="4">
        <f t="shared" si="0"/>
        <v>2475</v>
      </c>
      <c r="H12" s="5">
        <f t="shared" si="1"/>
        <v>2575</v>
      </c>
    </row>
    <row r="13" spans="1:8" x14ac:dyDescent="0.25">
      <c r="A13" s="12" t="s">
        <v>13</v>
      </c>
      <c r="B13" s="5">
        <f>+'0311'!H13</f>
        <v>325</v>
      </c>
      <c r="C13" s="5"/>
      <c r="D13" s="5" t="s">
        <v>18</v>
      </c>
      <c r="E13" s="14"/>
      <c r="F13" s="4">
        <v>285</v>
      </c>
      <c r="G13" s="4">
        <f t="shared" si="0"/>
        <v>0</v>
      </c>
      <c r="H13" s="5">
        <f t="shared" si="1"/>
        <v>325</v>
      </c>
    </row>
    <row r="14" spans="1:8" x14ac:dyDescent="0.25">
      <c r="A14" s="12" t="s">
        <v>14</v>
      </c>
      <c r="B14" s="5">
        <f>+'0311'!H14</f>
        <v>54575</v>
      </c>
      <c r="C14" s="5"/>
      <c r="D14" s="5" t="s">
        <v>18</v>
      </c>
      <c r="E14" s="14">
        <f>30*25</f>
        <v>750</v>
      </c>
      <c r="F14" s="4">
        <v>93</v>
      </c>
      <c r="G14" s="4">
        <f t="shared" si="0"/>
        <v>69750</v>
      </c>
      <c r="H14" s="5">
        <f>B14-E14</f>
        <v>53825</v>
      </c>
    </row>
    <row r="15" spans="1:8" x14ac:dyDescent="0.25">
      <c r="A15" s="12" t="s">
        <v>15</v>
      </c>
      <c r="B15" s="5">
        <f>+'0311'!H15</f>
        <v>2002</v>
      </c>
      <c r="C15" s="5"/>
      <c r="D15" s="5" t="s">
        <v>18</v>
      </c>
      <c r="E15" s="14">
        <v>56</v>
      </c>
      <c r="F15" s="4">
        <v>67.23</v>
      </c>
      <c r="G15" s="4">
        <f t="shared" si="0"/>
        <v>3764.88</v>
      </c>
      <c r="H15" s="5">
        <f t="shared" si="1"/>
        <v>1946</v>
      </c>
    </row>
    <row r="16" spans="1:8" x14ac:dyDescent="0.25">
      <c r="A16" s="12" t="s">
        <v>16</v>
      </c>
      <c r="B16" s="5">
        <f>+'0311'!H16</f>
        <v>325</v>
      </c>
      <c r="C16" s="5"/>
      <c r="D16" s="5" t="s">
        <v>18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+'0311'!H17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f>+'0311'!H18</f>
        <v>1527.913</v>
      </c>
      <c r="C18" s="5"/>
      <c r="D18" s="5" t="s">
        <v>18</v>
      </c>
      <c r="E18" s="13"/>
      <c r="F18" s="10">
        <v>877.28</v>
      </c>
      <c r="G18" s="10">
        <f t="shared" si="0"/>
        <v>0</v>
      </c>
      <c r="H18" s="5">
        <f t="shared" si="1"/>
        <v>1527.913</v>
      </c>
    </row>
    <row r="19" spans="1:8" x14ac:dyDescent="0.25">
      <c r="A19" s="13" t="s">
        <v>61</v>
      </c>
      <c r="B19" s="5">
        <f>+'0311'!H19</f>
        <v>344.971</v>
      </c>
      <c r="C19" s="5"/>
      <c r="D19" s="5" t="s">
        <v>18</v>
      </c>
      <c r="E19" s="13"/>
      <c r="F19" s="10">
        <v>601.1</v>
      </c>
      <c r="G19" s="10">
        <f t="shared" si="0"/>
        <v>0</v>
      </c>
      <c r="H19" s="5">
        <f t="shared" si="1"/>
        <v>344.971</v>
      </c>
    </row>
    <row r="20" spans="1:8" x14ac:dyDescent="0.25">
      <c r="A20" s="13" t="s">
        <v>62</v>
      </c>
      <c r="B20" s="5">
        <f>+'0311'!H20</f>
        <v>990.22</v>
      </c>
      <c r="C20" s="5"/>
      <c r="D20" s="5" t="s">
        <v>18</v>
      </c>
      <c r="E20" s="13"/>
      <c r="F20" s="10">
        <v>568.61</v>
      </c>
      <c r="G20" s="10">
        <f t="shared" si="0"/>
        <v>0</v>
      </c>
      <c r="H20" s="5">
        <f t="shared" si="1"/>
        <v>990.22</v>
      </c>
    </row>
    <row r="21" spans="1:8" x14ac:dyDescent="0.25">
      <c r="A21" s="13" t="s">
        <v>63</v>
      </c>
      <c r="B21" s="5">
        <f>+'0311'!H21</f>
        <v>2462.3689999999997</v>
      </c>
      <c r="C21" s="5"/>
      <c r="D21" s="5" t="s">
        <v>18</v>
      </c>
      <c r="E21" s="13"/>
      <c r="F21" s="10">
        <v>333.04</v>
      </c>
      <c r="G21" s="10">
        <f t="shared" si="0"/>
        <v>0</v>
      </c>
      <c r="H21" s="5">
        <f t="shared" si="1"/>
        <v>2462.3689999999997</v>
      </c>
    </row>
    <row r="22" spans="1:8" x14ac:dyDescent="0.25">
      <c r="A22" s="13" t="s">
        <v>64</v>
      </c>
      <c r="B22" s="5">
        <f>+'0311'!H22</f>
        <v>1262.53</v>
      </c>
      <c r="C22" s="5"/>
      <c r="D22" s="5" t="s">
        <v>18</v>
      </c>
      <c r="E22" s="13"/>
      <c r="F22" s="10">
        <v>714.82</v>
      </c>
      <c r="G22" s="10">
        <f t="shared" si="0"/>
        <v>0</v>
      </c>
      <c r="H22" s="5">
        <f t="shared" si="1"/>
        <v>1262.53</v>
      </c>
    </row>
    <row r="23" spans="1:8" x14ac:dyDescent="0.25">
      <c r="A23" s="13" t="s">
        <v>65</v>
      </c>
      <c r="B23" s="5">
        <f>+'0311'!H23</f>
        <v>230</v>
      </c>
      <c r="C23" s="5"/>
      <c r="D23" s="5" t="s">
        <v>18</v>
      </c>
      <c r="E23" s="13"/>
      <c r="F23" s="10">
        <v>487.38</v>
      </c>
      <c r="G23" s="10">
        <f t="shared" si="0"/>
        <v>0</v>
      </c>
      <c r="H23" s="5">
        <f t="shared" si="1"/>
        <v>230</v>
      </c>
    </row>
    <row r="24" spans="1:8" x14ac:dyDescent="0.25">
      <c r="A24" s="13" t="s">
        <v>66</v>
      </c>
      <c r="B24" s="5">
        <f>+'0311'!H24</f>
        <v>974.07400000000007</v>
      </c>
      <c r="C24" s="5"/>
      <c r="D24" s="5" t="s">
        <v>18</v>
      </c>
      <c r="E24" s="13"/>
      <c r="F24" s="10">
        <v>844.79</v>
      </c>
      <c r="G24" s="10">
        <f t="shared" si="0"/>
        <v>0</v>
      </c>
      <c r="H24" s="5">
        <f t="shared" si="1"/>
        <v>974.07400000000007</v>
      </c>
    </row>
    <row r="25" spans="1:8" x14ac:dyDescent="0.25">
      <c r="A25" s="13" t="s">
        <v>67</v>
      </c>
      <c r="B25" s="5">
        <f>+'0311'!H25</f>
        <v>1104</v>
      </c>
      <c r="C25" s="5"/>
      <c r="D25" s="5" t="s">
        <v>18</v>
      </c>
      <c r="E25" s="13"/>
      <c r="F25" s="10">
        <v>901.65</v>
      </c>
      <c r="G25" s="10">
        <f t="shared" si="0"/>
        <v>0</v>
      </c>
      <c r="H25" s="5">
        <f t="shared" si="1"/>
        <v>1104</v>
      </c>
    </row>
    <row r="26" spans="1:8" x14ac:dyDescent="0.25">
      <c r="A26" s="13" t="s">
        <v>68</v>
      </c>
      <c r="B26" s="5">
        <f>+'0311'!H26</f>
        <v>229.04</v>
      </c>
      <c r="C26" s="5"/>
      <c r="D26" s="5" t="s">
        <v>18</v>
      </c>
      <c r="E26" s="13"/>
      <c r="F26" s="10">
        <v>877.28</v>
      </c>
      <c r="G26" s="10">
        <f t="shared" si="0"/>
        <v>0</v>
      </c>
      <c r="H26" s="5">
        <f t="shared" si="1"/>
        <v>229.04</v>
      </c>
    </row>
    <row r="27" spans="1:8" x14ac:dyDescent="0.25">
      <c r="A27" s="13" t="s">
        <v>69</v>
      </c>
      <c r="B27" s="5">
        <f>+'0311'!H27</f>
        <v>969.81</v>
      </c>
      <c r="C27" s="5"/>
      <c r="D27" s="5" t="s">
        <v>18</v>
      </c>
      <c r="E27" s="13"/>
      <c r="F27" s="10">
        <v>300.55</v>
      </c>
      <c r="G27" s="10">
        <f t="shared" si="0"/>
        <v>0</v>
      </c>
      <c r="H27" s="5">
        <f t="shared" si="1"/>
        <v>969.81</v>
      </c>
    </row>
    <row r="28" spans="1:8" x14ac:dyDescent="0.25">
      <c r="A28" s="13" t="s">
        <v>70</v>
      </c>
      <c r="B28" s="5">
        <f>+'0311'!H28</f>
        <v>14809.635999999999</v>
      </c>
      <c r="C28" s="5"/>
      <c r="D28" s="5" t="s">
        <v>18</v>
      </c>
      <c r="E28" s="13"/>
      <c r="F28" s="10">
        <v>178.7</v>
      </c>
      <c r="G28" s="10">
        <f t="shared" si="0"/>
        <v>0</v>
      </c>
      <c r="H28" s="5">
        <f t="shared" si="1"/>
        <v>14809.635999999999</v>
      </c>
    </row>
    <row r="29" spans="1:8" x14ac:dyDescent="0.25">
      <c r="A29" s="11" t="s">
        <v>27</v>
      </c>
      <c r="B29" s="5">
        <f>+'0311'!H29</f>
        <v>19</v>
      </c>
      <c r="C29" s="5"/>
      <c r="D29" s="5" t="s">
        <v>18</v>
      </c>
      <c r="E29" s="14"/>
      <c r="F29" s="4"/>
      <c r="G29" s="4">
        <f t="shared" si="0"/>
        <v>0</v>
      </c>
      <c r="H29" s="5">
        <f t="shared" si="1"/>
        <v>19</v>
      </c>
    </row>
    <row r="30" spans="1:8" x14ac:dyDescent="0.25">
      <c r="A30" s="11" t="s">
        <v>80</v>
      </c>
      <c r="B30" s="5">
        <f>+'0311'!H30</f>
        <v>0</v>
      </c>
      <c r="C30" s="5"/>
      <c r="D30" s="5" t="s">
        <v>18</v>
      </c>
      <c r="E30" s="14"/>
      <c r="F30" s="4"/>
      <c r="G30" s="4">
        <f t="shared" si="0"/>
        <v>0</v>
      </c>
      <c r="H30" s="5">
        <f t="shared" si="1"/>
        <v>0</v>
      </c>
    </row>
    <row r="31" spans="1:8" x14ac:dyDescent="0.25">
      <c r="A31" s="11" t="s">
        <v>28</v>
      </c>
      <c r="B31" s="5">
        <f>+'0311'!H31</f>
        <v>0</v>
      </c>
      <c r="C31" s="5"/>
      <c r="D31" s="5" t="s">
        <v>18</v>
      </c>
      <c r="E31" s="14"/>
      <c r="F31" s="4"/>
      <c r="G31" s="4">
        <f t="shared" si="0"/>
        <v>0</v>
      </c>
      <c r="H31" s="5">
        <f t="shared" si="1"/>
        <v>0</v>
      </c>
    </row>
    <row r="32" spans="1:8" x14ac:dyDescent="0.25">
      <c r="A32" s="11" t="s">
        <v>79</v>
      </c>
      <c r="B32" s="5">
        <f>+'0311'!H32</f>
        <v>40</v>
      </c>
      <c r="C32" s="5"/>
      <c r="D32" s="5" t="s">
        <v>18</v>
      </c>
      <c r="E32" s="14"/>
      <c r="F32" s="4"/>
      <c r="G32" s="4">
        <f t="shared" si="0"/>
        <v>0</v>
      </c>
      <c r="H32" s="5">
        <f t="shared" si="1"/>
        <v>40</v>
      </c>
    </row>
    <row r="33" spans="1:8" x14ac:dyDescent="0.25">
      <c r="A33" s="11" t="s">
        <v>73</v>
      </c>
      <c r="B33" s="5">
        <f>+'0311'!H33</f>
        <v>100</v>
      </c>
      <c r="C33" s="5"/>
      <c r="D33" s="5" t="s">
        <v>18</v>
      </c>
      <c r="E33" s="14"/>
      <c r="F33" s="4"/>
      <c r="G33" s="4">
        <f t="shared" si="0"/>
        <v>0</v>
      </c>
      <c r="H33" s="5">
        <f t="shared" si="1"/>
        <v>100</v>
      </c>
    </row>
    <row r="34" spans="1:8" x14ac:dyDescent="0.25">
      <c r="A34" s="11" t="s">
        <v>29</v>
      </c>
      <c r="B34" s="5">
        <f>+'0311'!H34</f>
        <v>60</v>
      </c>
      <c r="C34" s="5"/>
      <c r="D34" s="5" t="s">
        <v>18</v>
      </c>
      <c r="E34" s="14"/>
      <c r="F34" s="4"/>
      <c r="G34" s="4">
        <f t="shared" si="0"/>
        <v>0</v>
      </c>
      <c r="H34" s="5">
        <f t="shared" si="1"/>
        <v>60</v>
      </c>
    </row>
    <row r="35" spans="1:8" x14ac:dyDescent="0.25">
      <c r="A35" s="11" t="s">
        <v>30</v>
      </c>
      <c r="B35" s="5">
        <f>+'0311'!H35</f>
        <v>115</v>
      </c>
      <c r="C35" s="5"/>
      <c r="D35" s="5" t="s">
        <v>18</v>
      </c>
      <c r="E35" s="14"/>
      <c r="F35" s="4"/>
      <c r="G35" s="4">
        <f t="shared" si="0"/>
        <v>0</v>
      </c>
      <c r="H35" s="5">
        <f t="shared" si="1"/>
        <v>115</v>
      </c>
    </row>
    <row r="36" spans="1:8" x14ac:dyDescent="0.25">
      <c r="A36" s="11" t="s">
        <v>77</v>
      </c>
      <c r="B36" s="5">
        <f>+'0311'!H36</f>
        <v>60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60</v>
      </c>
    </row>
    <row r="37" spans="1:8" x14ac:dyDescent="0.25">
      <c r="A37" s="11" t="s">
        <v>31</v>
      </c>
      <c r="B37" s="5">
        <f>+'0311'!H37</f>
        <v>0</v>
      </c>
      <c r="C37" s="5"/>
      <c r="D37" s="5" t="s">
        <v>18</v>
      </c>
      <c r="E37" s="14"/>
      <c r="F37" s="4"/>
      <c r="G37" s="4">
        <f t="shared" si="0"/>
        <v>0</v>
      </c>
      <c r="H37" s="5">
        <f t="shared" si="1"/>
        <v>0</v>
      </c>
    </row>
    <row r="38" spans="1:8" x14ac:dyDescent="0.25">
      <c r="A38" s="11" t="s">
        <v>32</v>
      </c>
      <c r="B38" s="5">
        <f>+'0311'!H38</f>
        <v>40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40</v>
      </c>
    </row>
    <row r="39" spans="1:8" x14ac:dyDescent="0.25">
      <c r="A39" s="11" t="s">
        <v>76</v>
      </c>
      <c r="B39" s="5">
        <f>+'0311'!H39</f>
        <v>17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17</v>
      </c>
    </row>
    <row r="40" spans="1:8" x14ac:dyDescent="0.25">
      <c r="A40" s="11" t="s">
        <v>33</v>
      </c>
      <c r="B40" s="5">
        <f>+'0311'!H40</f>
        <v>40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40</v>
      </c>
    </row>
    <row r="41" spans="1:8" x14ac:dyDescent="0.25">
      <c r="A41" s="11" t="s">
        <v>34</v>
      </c>
      <c r="B41" s="5">
        <f>+'0311'!H41</f>
        <v>60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60</v>
      </c>
    </row>
    <row r="42" spans="1:8" x14ac:dyDescent="0.25">
      <c r="A42" s="11" t="s">
        <v>35</v>
      </c>
      <c r="B42" s="5">
        <f>+'0311'!H42</f>
        <v>100</v>
      </c>
      <c r="C42" s="5"/>
      <c r="D42" s="5" t="s">
        <v>18</v>
      </c>
      <c r="E42" s="14"/>
      <c r="F42" s="4"/>
      <c r="G42" s="4">
        <f t="shared" si="0"/>
        <v>0</v>
      </c>
      <c r="H42" s="5">
        <f t="shared" si="1"/>
        <v>100</v>
      </c>
    </row>
    <row r="43" spans="1:8" x14ac:dyDescent="0.25">
      <c r="A43" s="11" t="s">
        <v>36</v>
      </c>
      <c r="B43" s="5">
        <f>+'0311'!H43</f>
        <v>20</v>
      </c>
      <c r="C43" s="5"/>
      <c r="D43" s="5" t="s">
        <v>18</v>
      </c>
      <c r="E43" s="14"/>
      <c r="F43" s="4"/>
      <c r="G43" s="4">
        <f t="shared" si="0"/>
        <v>0</v>
      </c>
      <c r="H43" s="5">
        <f t="shared" si="1"/>
        <v>20</v>
      </c>
    </row>
    <row r="44" spans="1:8" x14ac:dyDescent="0.25">
      <c r="A44" s="11" t="s">
        <v>37</v>
      </c>
      <c r="B44" s="5">
        <f>+'0311'!H44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38</v>
      </c>
      <c r="B45" s="5">
        <f>+'0311'!H45</f>
        <v>40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40</v>
      </c>
    </row>
    <row r="46" spans="1:8" x14ac:dyDescent="0.25">
      <c r="A46" s="11" t="s">
        <v>39</v>
      </c>
      <c r="B46" s="5">
        <f>+'0311'!H46</f>
        <v>100</v>
      </c>
      <c r="C46" s="5"/>
      <c r="D46" s="5" t="s">
        <v>18</v>
      </c>
      <c r="E46" s="14"/>
      <c r="F46" s="4"/>
      <c r="G46" s="4">
        <f t="shared" si="0"/>
        <v>0</v>
      </c>
      <c r="H46" s="5">
        <f t="shared" si="1"/>
        <v>100</v>
      </c>
    </row>
    <row r="47" spans="1:8" x14ac:dyDescent="0.25">
      <c r="A47" s="11" t="s">
        <v>40</v>
      </c>
      <c r="B47" s="5">
        <f>+'0311'!H47</f>
        <v>0</v>
      </c>
      <c r="C47" s="5"/>
      <c r="D47" s="5" t="s">
        <v>18</v>
      </c>
      <c r="E47" s="14"/>
      <c r="F47" s="4"/>
      <c r="G47" s="4">
        <f t="shared" si="0"/>
        <v>0</v>
      </c>
      <c r="H47" s="5">
        <f t="shared" si="1"/>
        <v>0</v>
      </c>
    </row>
    <row r="48" spans="1:8" x14ac:dyDescent="0.25">
      <c r="A48" s="11" t="s">
        <v>41</v>
      </c>
      <c r="B48" s="5">
        <f>+'0311'!H48</f>
        <v>20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20</v>
      </c>
    </row>
    <row r="49" spans="1:8" x14ac:dyDescent="0.25">
      <c r="A49" s="11" t="s">
        <v>42</v>
      </c>
      <c r="B49" s="5">
        <f>+'0311'!H49</f>
        <v>140</v>
      </c>
      <c r="C49" s="5"/>
      <c r="D49" s="5" t="s">
        <v>18</v>
      </c>
      <c r="E49" s="14"/>
      <c r="F49" s="4"/>
      <c r="G49" s="4">
        <f t="shared" si="0"/>
        <v>0</v>
      </c>
      <c r="H49" s="5">
        <f t="shared" si="1"/>
        <v>140</v>
      </c>
    </row>
    <row r="50" spans="1:8" x14ac:dyDescent="0.25">
      <c r="A50" s="11" t="s">
        <v>43</v>
      </c>
      <c r="B50" s="5">
        <f>+'0311'!H50</f>
        <v>83</v>
      </c>
      <c r="C50" s="5"/>
      <c r="D50" s="5" t="s">
        <v>18</v>
      </c>
      <c r="E50" s="14"/>
      <c r="F50" s="4"/>
      <c r="G50" s="4">
        <f t="shared" si="0"/>
        <v>0</v>
      </c>
      <c r="H50" s="5">
        <f t="shared" si="1"/>
        <v>83</v>
      </c>
    </row>
    <row r="51" spans="1:8" x14ac:dyDescent="0.25">
      <c r="A51" s="11" t="s">
        <v>74</v>
      </c>
      <c r="B51" s="5">
        <f>+'0311'!H51</f>
        <v>40</v>
      </c>
      <c r="C51" s="5"/>
      <c r="D51" s="5" t="s">
        <v>18</v>
      </c>
      <c r="E51" s="14"/>
      <c r="F51" s="4"/>
      <c r="G51" s="4">
        <f t="shared" si="0"/>
        <v>0</v>
      </c>
      <c r="H51" s="5">
        <f t="shared" si="1"/>
        <v>40</v>
      </c>
    </row>
    <row r="52" spans="1:8" x14ac:dyDescent="0.25">
      <c r="A52" s="11" t="s">
        <v>78</v>
      </c>
      <c r="B52" s="5">
        <f>+'0311'!H52</f>
        <v>40</v>
      </c>
      <c r="C52" s="5"/>
      <c r="D52" s="5" t="s">
        <v>18</v>
      </c>
      <c r="E52" s="14"/>
      <c r="F52" s="4"/>
      <c r="G52" s="4">
        <f t="shared" si="0"/>
        <v>0</v>
      </c>
      <c r="H52" s="5">
        <f t="shared" si="1"/>
        <v>40</v>
      </c>
    </row>
    <row r="53" spans="1:8" x14ac:dyDescent="0.25">
      <c r="A53" s="11" t="s">
        <v>44</v>
      </c>
      <c r="B53" s="5">
        <f>+'0311'!H53</f>
        <v>40</v>
      </c>
      <c r="C53" s="5"/>
      <c r="D53" s="5" t="s">
        <v>18</v>
      </c>
      <c r="E53" s="14"/>
      <c r="F53" s="4"/>
      <c r="G53" s="4">
        <f t="shared" si="0"/>
        <v>0</v>
      </c>
      <c r="H53" s="5">
        <f t="shared" si="1"/>
        <v>40</v>
      </c>
    </row>
    <row r="54" spans="1:8" x14ac:dyDescent="0.25">
      <c r="A54" s="11" t="s">
        <v>45</v>
      </c>
      <c r="B54" s="5">
        <f>+'0311'!H54</f>
        <v>120</v>
      </c>
      <c r="C54" s="5"/>
      <c r="D54" s="5" t="s">
        <v>18</v>
      </c>
      <c r="E54" s="14"/>
      <c r="F54" s="4"/>
      <c r="G54" s="4">
        <f t="shared" si="0"/>
        <v>0</v>
      </c>
      <c r="H54" s="5">
        <f t="shared" si="1"/>
        <v>120</v>
      </c>
    </row>
    <row r="55" spans="1:8" x14ac:dyDescent="0.25">
      <c r="A55" s="11" t="s">
        <v>46</v>
      </c>
      <c r="B55" s="5">
        <f>+'0311'!H55</f>
        <v>20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20</v>
      </c>
    </row>
    <row r="56" spans="1:8" x14ac:dyDescent="0.25">
      <c r="A56" s="11" t="s">
        <v>47</v>
      </c>
      <c r="B56" s="5">
        <f>+'0311'!H56</f>
        <v>199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199</v>
      </c>
    </row>
    <row r="57" spans="1:8" x14ac:dyDescent="0.25">
      <c r="A57" s="11" t="s">
        <v>72</v>
      </c>
      <c r="B57" s="5">
        <f>+'0311'!H57</f>
        <v>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0</v>
      </c>
    </row>
    <row r="58" spans="1:8" x14ac:dyDescent="0.25">
      <c r="A58" s="11" t="s">
        <v>48</v>
      </c>
      <c r="B58" s="5">
        <f>+'0311'!H58</f>
        <v>60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60</v>
      </c>
    </row>
    <row r="59" spans="1:8" x14ac:dyDescent="0.25">
      <c r="A59" s="11" t="s">
        <v>75</v>
      </c>
      <c r="B59" s="5">
        <f>+'0311'!H59</f>
        <v>17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17</v>
      </c>
    </row>
    <row r="60" spans="1:8" x14ac:dyDescent="0.25">
      <c r="A60" s="11" t="s">
        <v>49</v>
      </c>
      <c r="B60" s="5">
        <f>+'0311'!H60</f>
        <v>180</v>
      </c>
      <c r="C60" s="5"/>
      <c r="D60" s="5" t="s">
        <v>18</v>
      </c>
      <c r="E60" s="14"/>
      <c r="F60" s="4"/>
      <c r="G60" s="4">
        <f t="shared" si="0"/>
        <v>0</v>
      </c>
      <c r="H60" s="5">
        <f t="shared" si="1"/>
        <v>180</v>
      </c>
    </row>
    <row r="61" spans="1:8" x14ac:dyDescent="0.25">
      <c r="A61" s="11" t="s">
        <v>50</v>
      </c>
      <c r="B61" s="5">
        <f>+'0311'!H61</f>
        <v>60</v>
      </c>
      <c r="C61" s="5"/>
      <c r="D61" s="5" t="s">
        <v>18</v>
      </c>
      <c r="E61" s="14"/>
      <c r="F61" s="4"/>
      <c r="G61" s="4">
        <f t="shared" si="0"/>
        <v>0</v>
      </c>
      <c r="H61" s="5">
        <f t="shared" si="1"/>
        <v>60</v>
      </c>
    </row>
    <row r="62" spans="1:8" x14ac:dyDescent="0.25">
      <c r="A62" s="11" t="s">
        <v>51</v>
      </c>
      <c r="B62" s="5">
        <f>+'0311'!H62</f>
        <v>20</v>
      </c>
      <c r="C62" s="5"/>
      <c r="D62" s="5" t="s">
        <v>18</v>
      </c>
      <c r="E62" s="14"/>
      <c r="F62" s="4"/>
      <c r="G62" s="4">
        <f t="shared" si="0"/>
        <v>0</v>
      </c>
      <c r="H62" s="5">
        <f t="shared" si="1"/>
        <v>20</v>
      </c>
    </row>
    <row r="63" spans="1:8" x14ac:dyDescent="0.25">
      <c r="A63" s="11" t="s">
        <v>52</v>
      </c>
      <c r="B63" s="5">
        <f>+'0311'!H63</f>
        <v>100</v>
      </c>
      <c r="C63" s="5"/>
      <c r="D63" s="5" t="s">
        <v>18</v>
      </c>
      <c r="E63" s="14"/>
      <c r="F63" s="4"/>
      <c r="G63" s="4">
        <f t="shared" si="0"/>
        <v>0</v>
      </c>
      <c r="H63" s="5">
        <f t="shared" si="1"/>
        <v>100</v>
      </c>
    </row>
    <row r="64" spans="1:8" x14ac:dyDescent="0.25">
      <c r="A64" s="11" t="s">
        <v>53</v>
      </c>
      <c r="B64" s="5">
        <f>+'0311'!H64</f>
        <v>40</v>
      </c>
      <c r="C64" s="5"/>
      <c r="D64" s="5" t="s">
        <v>18</v>
      </c>
      <c r="E64" s="14"/>
      <c r="F64" s="4"/>
      <c r="G64" s="4">
        <f t="shared" si="0"/>
        <v>0</v>
      </c>
      <c r="H64" s="5">
        <f t="shared" si="1"/>
        <v>40</v>
      </c>
    </row>
    <row r="65" spans="1:8" x14ac:dyDescent="0.25">
      <c r="A65" s="11" t="s">
        <v>54</v>
      </c>
      <c r="B65" s="5">
        <f>+'0311'!H65</f>
        <v>60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60</v>
      </c>
    </row>
    <row r="66" spans="1:8" x14ac:dyDescent="0.25">
      <c r="A66" s="11" t="s">
        <v>55</v>
      </c>
      <c r="B66" s="5">
        <f>+'0311'!H66</f>
        <v>100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100</v>
      </c>
    </row>
    <row r="67" spans="1:8" x14ac:dyDescent="0.25">
      <c r="A67" s="11" t="s">
        <v>56</v>
      </c>
      <c r="B67" s="5">
        <f>+'0311'!H67</f>
        <v>0</v>
      </c>
      <c r="C67" s="5"/>
      <c r="D67" s="5" t="s">
        <v>18</v>
      </c>
      <c r="E67" s="14"/>
      <c r="F67" s="4"/>
      <c r="G67" s="4">
        <f t="shared" si="0"/>
        <v>0</v>
      </c>
      <c r="H67" s="5">
        <f t="shared" si="1"/>
        <v>0</v>
      </c>
    </row>
    <row r="68" spans="1:8" x14ac:dyDescent="0.25">
      <c r="A68" s="11" t="s">
        <v>57</v>
      </c>
      <c r="B68" s="5">
        <f>+'0311'!H68</f>
        <v>60</v>
      </c>
      <c r="C68" s="5"/>
      <c r="D68" s="5" t="s">
        <v>18</v>
      </c>
      <c r="E68" s="14"/>
      <c r="F68" s="4"/>
      <c r="G68" s="4">
        <f t="shared" si="0"/>
        <v>0</v>
      </c>
      <c r="H68" s="5">
        <f t="shared" si="1"/>
        <v>60</v>
      </c>
    </row>
    <row r="69" spans="1:8" x14ac:dyDescent="0.25">
      <c r="A69" s="11" t="s">
        <v>58</v>
      </c>
      <c r="B69" s="5">
        <f>+'0311'!H69</f>
        <v>108</v>
      </c>
      <c r="C69" s="5"/>
      <c r="D69" s="5" t="s">
        <v>18</v>
      </c>
      <c r="E69" s="14"/>
      <c r="F69" s="4"/>
      <c r="G69" s="4">
        <f t="shared" si="0"/>
        <v>0</v>
      </c>
      <c r="H69" s="5">
        <f t="shared" si="1"/>
        <v>108</v>
      </c>
    </row>
    <row r="70" spans="1:8" x14ac:dyDescent="0.25">
      <c r="A70" s="11" t="s">
        <v>71</v>
      </c>
      <c r="B70" s="5">
        <f>+'0311'!H70</f>
        <v>34</v>
      </c>
      <c r="C70" s="5"/>
      <c r="D70" s="5" t="s">
        <v>18</v>
      </c>
      <c r="E70" s="14"/>
      <c r="F70" s="4"/>
      <c r="G70" s="4">
        <f t="shared" si="0"/>
        <v>0</v>
      </c>
      <c r="H70" s="5">
        <f t="shared" si="1"/>
        <v>34</v>
      </c>
    </row>
    <row r="71" spans="1:8" x14ac:dyDescent="0.25">
      <c r="A71" s="11" t="s">
        <v>59</v>
      </c>
      <c r="B71" s="5">
        <f>+'0311'!H71</f>
        <v>20</v>
      </c>
      <c r="C71" s="5"/>
      <c r="D71" s="5" t="s">
        <v>18</v>
      </c>
      <c r="E71" s="14"/>
      <c r="F71" s="4"/>
      <c r="G71" s="4">
        <f t="shared" si="0"/>
        <v>0</v>
      </c>
      <c r="H71" s="5">
        <f t="shared" si="1"/>
        <v>20</v>
      </c>
    </row>
    <row r="72" spans="1:8" x14ac:dyDescent="0.25">
      <c r="A72" s="11" t="s">
        <v>81</v>
      </c>
      <c r="B72" s="5">
        <f>+'0311'!H72</f>
        <v>15</v>
      </c>
      <c r="C72" s="5"/>
      <c r="D72" s="5" t="s">
        <v>18</v>
      </c>
      <c r="E72" s="14"/>
      <c r="F72" s="4"/>
      <c r="G72" s="4">
        <f t="shared" si="0"/>
        <v>0</v>
      </c>
      <c r="H72" s="5">
        <f t="shared" si="1"/>
        <v>15</v>
      </c>
    </row>
    <row r="73" spans="1:8" x14ac:dyDescent="0.25">
      <c r="A73" s="3"/>
      <c r="B73" s="5">
        <f>+'0311'!H73</f>
        <v>0</v>
      </c>
      <c r="C73" s="5"/>
      <c r="D73" s="5" t="s">
        <v>18</v>
      </c>
      <c r="E73" s="14"/>
      <c r="F73" s="4"/>
      <c r="G73" s="4">
        <f t="shared" si="0"/>
        <v>0</v>
      </c>
      <c r="H73" s="5">
        <f t="shared" si="1"/>
        <v>0</v>
      </c>
    </row>
    <row r="74" spans="1:8" ht="18.75" x14ac:dyDescent="0.3">
      <c r="A74" s="7" t="s">
        <v>2</v>
      </c>
      <c r="B74" s="7"/>
      <c r="C74" s="7"/>
      <c r="D74" s="7"/>
      <c r="E74" s="8"/>
      <c r="F74" s="8"/>
      <c r="G74" s="8"/>
      <c r="H74" s="8"/>
    </row>
  </sheetData>
  <mergeCells count="2">
    <mergeCell ref="A2:A3"/>
    <mergeCell ref="B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4"/>
  <sheetViews>
    <sheetView workbookViewId="0">
      <selection activeCell="H5" sqref="H5"/>
    </sheetView>
  </sheetViews>
  <sheetFormatPr baseColWidth="10" defaultRowHeight="15" x14ac:dyDescent="0.25"/>
  <cols>
    <col min="1" max="1" width="20.5703125" customWidth="1"/>
  </cols>
  <sheetData>
    <row r="2" spans="1:8" ht="15.75" x14ac:dyDescent="0.25">
      <c r="A2" s="27" t="s">
        <v>1</v>
      </c>
      <c r="B2" s="31">
        <v>45966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+'0411'!H4</f>
        <v>178</v>
      </c>
      <c r="C4" s="5">
        <v>158</v>
      </c>
      <c r="D4" s="5" t="s">
        <v>21</v>
      </c>
      <c r="E4" s="14">
        <v>6</v>
      </c>
      <c r="F4" s="4">
        <v>230.62</v>
      </c>
      <c r="G4" s="4">
        <f>E4*F4</f>
        <v>1383.72</v>
      </c>
      <c r="H4" s="5">
        <f>B4-E4</f>
        <v>172</v>
      </c>
    </row>
    <row r="5" spans="1:8" x14ac:dyDescent="0.25">
      <c r="A5" s="12" t="s">
        <v>6</v>
      </c>
      <c r="B5" s="5">
        <f>+'0411'!H5</f>
        <v>58</v>
      </c>
      <c r="C5" s="5">
        <v>53</v>
      </c>
      <c r="D5" s="5" t="s">
        <v>21</v>
      </c>
      <c r="E5" s="14">
        <v>6</v>
      </c>
      <c r="F5" s="4">
        <v>91.2</v>
      </c>
      <c r="G5" s="4">
        <f t="shared" ref="G5:G73" si="0">E5*F5</f>
        <v>547.20000000000005</v>
      </c>
      <c r="H5" s="5">
        <f>B5-E5+C5</f>
        <v>105</v>
      </c>
    </row>
    <row r="6" spans="1:8" x14ac:dyDescent="0.25">
      <c r="A6" s="12" t="s">
        <v>7</v>
      </c>
      <c r="B6" s="5">
        <f>+'0411'!H6</f>
        <v>209</v>
      </c>
      <c r="C6" s="5"/>
      <c r="D6" s="5" t="s">
        <v>21</v>
      </c>
      <c r="E6" s="14">
        <v>1</v>
      </c>
      <c r="F6" s="4">
        <v>3500</v>
      </c>
      <c r="G6" s="4">
        <f t="shared" si="0"/>
        <v>3500</v>
      </c>
      <c r="H6" s="5">
        <f t="shared" ref="H6:H72" si="1">B6-E6</f>
        <v>208</v>
      </c>
    </row>
    <row r="7" spans="1:8" x14ac:dyDescent="0.25">
      <c r="A7" s="12" t="s">
        <v>8</v>
      </c>
      <c r="B7" s="5">
        <f>+'0411'!H7</f>
        <v>59</v>
      </c>
      <c r="C7" s="5">
        <v>50</v>
      </c>
      <c r="D7" s="5" t="s">
        <v>21</v>
      </c>
      <c r="E7" s="14"/>
      <c r="F7" s="4">
        <v>3300</v>
      </c>
      <c r="G7" s="4">
        <f t="shared" si="0"/>
        <v>0</v>
      </c>
      <c r="H7" s="5">
        <f>B7-E7</f>
        <v>59</v>
      </c>
    </row>
    <row r="8" spans="1:8" x14ac:dyDescent="0.25">
      <c r="A8" s="12" t="s">
        <v>9</v>
      </c>
      <c r="B8" s="5">
        <f>+'0411'!H8</f>
        <v>45</v>
      </c>
      <c r="C8" s="5"/>
      <c r="D8" s="5" t="s">
        <v>21</v>
      </c>
      <c r="E8" s="14"/>
      <c r="F8" s="4">
        <v>1554.62</v>
      </c>
      <c r="G8" s="4">
        <f t="shared" si="0"/>
        <v>0</v>
      </c>
      <c r="H8" s="5">
        <f t="shared" si="1"/>
        <v>45</v>
      </c>
    </row>
    <row r="9" spans="1:8" x14ac:dyDescent="0.25">
      <c r="A9" s="12" t="s">
        <v>10</v>
      </c>
      <c r="B9" s="5">
        <f>+'0411'!H9</f>
        <v>2188</v>
      </c>
      <c r="C9" s="5"/>
      <c r="D9" s="5" t="s">
        <v>18</v>
      </c>
      <c r="E9" s="14">
        <v>32</v>
      </c>
      <c r="F9" s="4">
        <v>210</v>
      </c>
      <c r="G9" s="4">
        <f t="shared" si="0"/>
        <v>6720</v>
      </c>
      <c r="H9" s="5">
        <f t="shared" si="1"/>
        <v>2156</v>
      </c>
    </row>
    <row r="10" spans="1:8" x14ac:dyDescent="0.25">
      <c r="A10" s="12" t="s">
        <v>23</v>
      </c>
      <c r="B10" s="5">
        <f>+'0411'!H10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+'0411'!H11</f>
        <v>1020</v>
      </c>
      <c r="C11" s="5"/>
      <c r="D11" s="5" t="s">
        <v>18</v>
      </c>
      <c r="E11" s="14"/>
      <c r="F11" s="4">
        <v>290</v>
      </c>
      <c r="G11" s="4">
        <f t="shared" si="0"/>
        <v>0</v>
      </c>
      <c r="H11" s="5">
        <f>B11-E11</f>
        <v>1020</v>
      </c>
    </row>
    <row r="12" spans="1:8" x14ac:dyDescent="0.25">
      <c r="A12" s="12" t="s">
        <v>12</v>
      </c>
      <c r="B12" s="5">
        <f>+'0411'!H12</f>
        <v>2575</v>
      </c>
      <c r="C12" s="5"/>
      <c r="D12" s="5" t="s">
        <v>18</v>
      </c>
      <c r="E12" s="14"/>
      <c r="F12" s="4">
        <v>49.5</v>
      </c>
      <c r="G12" s="4">
        <f t="shared" si="0"/>
        <v>0</v>
      </c>
      <c r="H12" s="5">
        <f t="shared" si="1"/>
        <v>2575</v>
      </c>
    </row>
    <row r="13" spans="1:8" x14ac:dyDescent="0.25">
      <c r="A13" s="12" t="s">
        <v>13</v>
      </c>
      <c r="B13" s="5">
        <f>+'0411'!H13</f>
        <v>325</v>
      </c>
      <c r="C13" s="5"/>
      <c r="D13" s="5" t="s">
        <v>18</v>
      </c>
      <c r="E13" s="14"/>
      <c r="F13" s="4">
        <v>285</v>
      </c>
      <c r="G13" s="4">
        <f t="shared" si="0"/>
        <v>0</v>
      </c>
      <c r="H13" s="5">
        <f t="shared" si="1"/>
        <v>325</v>
      </c>
    </row>
    <row r="14" spans="1:8" x14ac:dyDescent="0.25">
      <c r="A14" s="12" t="s">
        <v>14</v>
      </c>
      <c r="B14" s="5">
        <f>+'0411'!H14</f>
        <v>53825</v>
      </c>
      <c r="C14" s="5"/>
      <c r="D14" s="5" t="s">
        <v>18</v>
      </c>
      <c r="E14" s="14">
        <f>52*25</f>
        <v>1300</v>
      </c>
      <c r="F14" s="4">
        <v>93</v>
      </c>
      <c r="G14" s="4">
        <f t="shared" si="0"/>
        <v>120900</v>
      </c>
      <c r="H14" s="5">
        <f>B14-E14</f>
        <v>52525</v>
      </c>
    </row>
    <row r="15" spans="1:8" x14ac:dyDescent="0.25">
      <c r="A15" s="12" t="s">
        <v>15</v>
      </c>
      <c r="B15" s="5">
        <f>+'0411'!H15</f>
        <v>1946</v>
      </c>
      <c r="C15" s="5"/>
      <c r="D15" s="5" t="s">
        <v>18</v>
      </c>
      <c r="E15" s="14">
        <v>70</v>
      </c>
      <c r="F15" s="4">
        <v>67.23</v>
      </c>
      <c r="G15" s="4">
        <f t="shared" si="0"/>
        <v>4706.1000000000004</v>
      </c>
      <c r="H15" s="5">
        <f t="shared" si="1"/>
        <v>1876</v>
      </c>
    </row>
    <row r="16" spans="1:8" x14ac:dyDescent="0.25">
      <c r="A16" s="12" t="s">
        <v>16</v>
      </c>
      <c r="B16" s="5">
        <f>+'0411'!H16</f>
        <v>325</v>
      </c>
      <c r="C16" s="5"/>
      <c r="D16" s="5" t="s">
        <v>18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+'0411'!H17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f>+'0411'!H18</f>
        <v>1527.913</v>
      </c>
      <c r="C18" s="5"/>
      <c r="D18" s="5" t="s">
        <v>18</v>
      </c>
      <c r="E18" s="13">
        <f>33.8</f>
        <v>33.799999999999997</v>
      </c>
      <c r="F18" s="10">
        <v>877.28</v>
      </c>
      <c r="G18" s="10">
        <f t="shared" si="0"/>
        <v>29652.063999999995</v>
      </c>
      <c r="H18" s="5">
        <f t="shared" si="1"/>
        <v>1494.1130000000001</v>
      </c>
    </row>
    <row r="19" spans="1:8" x14ac:dyDescent="0.25">
      <c r="A19" s="13" t="s">
        <v>61</v>
      </c>
      <c r="B19" s="5">
        <f>+'0411'!H19</f>
        <v>344.971</v>
      </c>
      <c r="C19" s="5"/>
      <c r="D19" s="5" t="s">
        <v>18</v>
      </c>
      <c r="E19" s="13"/>
      <c r="F19" s="10">
        <v>601.1</v>
      </c>
      <c r="G19" s="10">
        <f t="shared" si="0"/>
        <v>0</v>
      </c>
      <c r="H19" s="5">
        <f t="shared" si="1"/>
        <v>344.971</v>
      </c>
    </row>
    <row r="20" spans="1:8" x14ac:dyDescent="0.25">
      <c r="A20" s="13" t="s">
        <v>62</v>
      </c>
      <c r="B20" s="5">
        <f>+'0411'!H20</f>
        <v>990.22</v>
      </c>
      <c r="C20" s="5"/>
      <c r="D20" s="5" t="s">
        <v>18</v>
      </c>
      <c r="E20" s="13">
        <v>39.67</v>
      </c>
      <c r="F20" s="10">
        <v>568.61</v>
      </c>
      <c r="G20" s="10">
        <f t="shared" si="0"/>
        <v>22556.758700000002</v>
      </c>
      <c r="H20" s="5">
        <f t="shared" si="1"/>
        <v>950.55000000000007</v>
      </c>
    </row>
    <row r="21" spans="1:8" x14ac:dyDescent="0.25">
      <c r="A21" s="13" t="s">
        <v>63</v>
      </c>
      <c r="B21" s="5">
        <f>+'0411'!H21</f>
        <v>2462.3689999999997</v>
      </c>
      <c r="C21" s="5"/>
      <c r="D21" s="5" t="s">
        <v>18</v>
      </c>
      <c r="E21" s="13">
        <v>0.5</v>
      </c>
      <c r="F21" s="10">
        <v>333.04</v>
      </c>
      <c r="G21" s="10">
        <f t="shared" si="0"/>
        <v>166.52</v>
      </c>
      <c r="H21" s="5">
        <f>B21-E21</f>
        <v>2461.8689999999997</v>
      </c>
    </row>
    <row r="22" spans="1:8" x14ac:dyDescent="0.25">
      <c r="A22" s="13" t="s">
        <v>64</v>
      </c>
      <c r="B22" s="5">
        <f>+'0411'!H22</f>
        <v>1262.53</v>
      </c>
      <c r="C22" s="5"/>
      <c r="D22" s="5" t="s">
        <v>18</v>
      </c>
      <c r="E22" s="13">
        <v>1.45</v>
      </c>
      <c r="F22" s="10">
        <v>714.82</v>
      </c>
      <c r="G22" s="10">
        <f t="shared" si="0"/>
        <v>1036.489</v>
      </c>
      <c r="H22" s="5">
        <f t="shared" si="1"/>
        <v>1261.08</v>
      </c>
    </row>
    <row r="23" spans="1:8" x14ac:dyDescent="0.25">
      <c r="A23" s="13" t="s">
        <v>65</v>
      </c>
      <c r="B23" s="5">
        <f>+'0411'!H23</f>
        <v>230</v>
      </c>
      <c r="C23" s="5"/>
      <c r="D23" s="5" t="s">
        <v>18</v>
      </c>
      <c r="E23" s="13">
        <v>72</v>
      </c>
      <c r="F23" s="10">
        <v>487.38</v>
      </c>
      <c r="G23" s="10">
        <f t="shared" si="0"/>
        <v>35091.360000000001</v>
      </c>
      <c r="H23" s="5">
        <f t="shared" si="1"/>
        <v>158</v>
      </c>
    </row>
    <row r="24" spans="1:8" x14ac:dyDescent="0.25">
      <c r="A24" s="13" t="s">
        <v>66</v>
      </c>
      <c r="B24" s="5">
        <f>+'0411'!H24</f>
        <v>974.07400000000007</v>
      </c>
      <c r="C24" s="5"/>
      <c r="D24" s="5" t="s">
        <v>18</v>
      </c>
      <c r="E24" s="13">
        <v>0.25</v>
      </c>
      <c r="F24" s="10">
        <v>844.79</v>
      </c>
      <c r="G24" s="10">
        <f t="shared" si="0"/>
        <v>211.19749999999999</v>
      </c>
      <c r="H24" s="5">
        <f t="shared" si="1"/>
        <v>973.82400000000007</v>
      </c>
    </row>
    <row r="25" spans="1:8" x14ac:dyDescent="0.25">
      <c r="A25" s="13" t="s">
        <v>67</v>
      </c>
      <c r="B25" s="5">
        <f>+'0411'!H25</f>
        <v>1104</v>
      </c>
      <c r="C25" s="5"/>
      <c r="D25" s="5" t="s">
        <v>18</v>
      </c>
      <c r="E25" s="13">
        <v>0.7</v>
      </c>
      <c r="F25" s="10">
        <v>901.65</v>
      </c>
      <c r="G25" s="10">
        <f t="shared" si="0"/>
        <v>631.15499999999997</v>
      </c>
      <c r="H25" s="5">
        <f t="shared" si="1"/>
        <v>1103.3</v>
      </c>
    </row>
    <row r="26" spans="1:8" x14ac:dyDescent="0.25">
      <c r="A26" s="13" t="s">
        <v>68</v>
      </c>
      <c r="B26" s="5">
        <f>+'0411'!H26</f>
        <v>229.04</v>
      </c>
      <c r="C26" s="5"/>
      <c r="D26" s="5" t="s">
        <v>18</v>
      </c>
      <c r="E26" s="13">
        <v>4</v>
      </c>
      <c r="F26" s="10">
        <v>877.28</v>
      </c>
      <c r="G26" s="10">
        <f t="shared" si="0"/>
        <v>3509.12</v>
      </c>
      <c r="H26" s="5">
        <f t="shared" si="1"/>
        <v>225.04</v>
      </c>
    </row>
    <row r="27" spans="1:8" x14ac:dyDescent="0.25">
      <c r="A27" s="13" t="s">
        <v>69</v>
      </c>
      <c r="B27" s="5">
        <f>+'0411'!H27</f>
        <v>969.81</v>
      </c>
      <c r="C27" s="5"/>
      <c r="D27" s="5" t="s">
        <v>18</v>
      </c>
      <c r="E27" s="13">
        <v>73.2</v>
      </c>
      <c r="F27" s="10">
        <v>300.55</v>
      </c>
      <c r="G27" s="10">
        <f t="shared" si="0"/>
        <v>22000.260000000002</v>
      </c>
      <c r="H27" s="5">
        <f t="shared" si="1"/>
        <v>896.6099999999999</v>
      </c>
    </row>
    <row r="28" spans="1:8" x14ac:dyDescent="0.25">
      <c r="A28" s="13" t="s">
        <v>70</v>
      </c>
      <c r="B28" s="5">
        <f>+'0411'!H28</f>
        <v>14809.635999999999</v>
      </c>
      <c r="C28" s="5"/>
      <c r="D28" s="5" t="s">
        <v>18</v>
      </c>
      <c r="E28" s="13">
        <v>56</v>
      </c>
      <c r="F28" s="10">
        <v>178.7</v>
      </c>
      <c r="G28" s="10">
        <f t="shared" si="0"/>
        <v>10007.199999999999</v>
      </c>
      <c r="H28" s="5">
        <f t="shared" si="1"/>
        <v>14753.635999999999</v>
      </c>
    </row>
    <row r="29" spans="1:8" x14ac:dyDescent="0.25">
      <c r="A29" s="11" t="s">
        <v>27</v>
      </c>
      <c r="B29" s="5">
        <f>+'0411'!H29</f>
        <v>19</v>
      </c>
      <c r="C29" s="5">
        <f>34</f>
        <v>34</v>
      </c>
      <c r="D29" s="5" t="s">
        <v>18</v>
      </c>
      <c r="E29" s="14">
        <v>17</v>
      </c>
      <c r="F29" s="4"/>
      <c r="G29" s="4">
        <f t="shared" si="0"/>
        <v>0</v>
      </c>
      <c r="H29" s="5">
        <f>B29-E29+C29</f>
        <v>36</v>
      </c>
    </row>
    <row r="30" spans="1:8" x14ac:dyDescent="0.25">
      <c r="A30" s="11" t="s">
        <v>97</v>
      </c>
      <c r="B30" s="5">
        <f>+'0411'!H30</f>
        <v>0</v>
      </c>
      <c r="C30" s="5">
        <v>88</v>
      </c>
      <c r="D30" s="5" t="s">
        <v>18</v>
      </c>
      <c r="E30" s="14">
        <v>88</v>
      </c>
      <c r="F30" s="4"/>
      <c r="G30" s="4">
        <f t="shared" si="0"/>
        <v>0</v>
      </c>
      <c r="H30" s="5">
        <f>B30-E30+C30</f>
        <v>0</v>
      </c>
    </row>
    <row r="31" spans="1:8" x14ac:dyDescent="0.25">
      <c r="A31" s="11" t="s">
        <v>28</v>
      </c>
      <c r="B31" s="5">
        <f>+'0411'!H31</f>
        <v>0</v>
      </c>
      <c r="C31" s="5"/>
      <c r="D31" s="5" t="s">
        <v>18</v>
      </c>
      <c r="E31" s="14"/>
      <c r="F31" s="4"/>
      <c r="G31" s="4">
        <f t="shared" si="0"/>
        <v>0</v>
      </c>
      <c r="H31" s="5">
        <f t="shared" si="1"/>
        <v>0</v>
      </c>
    </row>
    <row r="32" spans="1:8" x14ac:dyDescent="0.25">
      <c r="A32" s="11" t="s">
        <v>79</v>
      </c>
      <c r="B32" s="5">
        <f>+'0411'!H32</f>
        <v>40</v>
      </c>
      <c r="C32" s="5"/>
      <c r="D32" s="5" t="s">
        <v>18</v>
      </c>
      <c r="E32" s="14"/>
      <c r="F32" s="4"/>
      <c r="G32" s="4">
        <f t="shared" si="0"/>
        <v>0</v>
      </c>
      <c r="H32" s="5">
        <f t="shared" si="1"/>
        <v>40</v>
      </c>
    </row>
    <row r="33" spans="1:8" x14ac:dyDescent="0.25">
      <c r="A33" s="11" t="s">
        <v>73</v>
      </c>
      <c r="B33" s="5">
        <f>+'0411'!H33</f>
        <v>100</v>
      </c>
      <c r="C33" s="5"/>
      <c r="D33" s="5" t="s">
        <v>18</v>
      </c>
      <c r="E33" s="14"/>
      <c r="F33" s="4"/>
      <c r="G33" s="4">
        <f t="shared" si="0"/>
        <v>0</v>
      </c>
      <c r="H33" s="5">
        <f t="shared" si="1"/>
        <v>100</v>
      </c>
    </row>
    <row r="34" spans="1:8" x14ac:dyDescent="0.25">
      <c r="A34" s="11" t="s">
        <v>29</v>
      </c>
      <c r="B34" s="5">
        <f>+'0411'!H34</f>
        <v>60</v>
      </c>
      <c r="C34" s="5"/>
      <c r="D34" s="5" t="s">
        <v>18</v>
      </c>
      <c r="E34" s="14"/>
      <c r="F34" s="4"/>
      <c r="G34" s="4">
        <f t="shared" si="0"/>
        <v>0</v>
      </c>
      <c r="H34" s="5">
        <f t="shared" si="1"/>
        <v>60</v>
      </c>
    </row>
    <row r="35" spans="1:8" x14ac:dyDescent="0.25">
      <c r="A35" s="11" t="s">
        <v>30</v>
      </c>
      <c r="B35" s="5">
        <f>+'0411'!H35</f>
        <v>115</v>
      </c>
      <c r="C35" s="5"/>
      <c r="D35" s="5" t="s">
        <v>18</v>
      </c>
      <c r="E35" s="14"/>
      <c r="F35" s="4"/>
      <c r="G35" s="4">
        <f t="shared" si="0"/>
        <v>0</v>
      </c>
      <c r="H35" s="5">
        <f t="shared" si="1"/>
        <v>115</v>
      </c>
    </row>
    <row r="36" spans="1:8" x14ac:dyDescent="0.25">
      <c r="A36" s="11" t="s">
        <v>77</v>
      </c>
      <c r="B36" s="5">
        <f>+'0411'!H36</f>
        <v>60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60</v>
      </c>
    </row>
    <row r="37" spans="1:8" x14ac:dyDescent="0.25">
      <c r="A37" s="11" t="s">
        <v>31</v>
      </c>
      <c r="B37" s="5">
        <f>+'0411'!H37</f>
        <v>0</v>
      </c>
      <c r="C37" s="5"/>
      <c r="D37" s="5" t="s">
        <v>18</v>
      </c>
      <c r="E37" s="14"/>
      <c r="F37" s="4"/>
      <c r="G37" s="4">
        <f t="shared" si="0"/>
        <v>0</v>
      </c>
      <c r="H37" s="5">
        <f t="shared" si="1"/>
        <v>0</v>
      </c>
    </row>
    <row r="38" spans="1:8" x14ac:dyDescent="0.25">
      <c r="A38" s="11" t="s">
        <v>32</v>
      </c>
      <c r="B38" s="5">
        <f>+'0411'!H38</f>
        <v>40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40</v>
      </c>
    </row>
    <row r="39" spans="1:8" x14ac:dyDescent="0.25">
      <c r="A39" s="11" t="s">
        <v>76</v>
      </c>
      <c r="B39" s="5">
        <f>+'0411'!H39</f>
        <v>17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17</v>
      </c>
    </row>
    <row r="40" spans="1:8" x14ac:dyDescent="0.25">
      <c r="A40" s="11" t="s">
        <v>33</v>
      </c>
      <c r="B40" s="5">
        <f>+'0411'!H40</f>
        <v>40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40</v>
      </c>
    </row>
    <row r="41" spans="1:8" x14ac:dyDescent="0.25">
      <c r="A41" s="11" t="s">
        <v>34</v>
      </c>
      <c r="B41" s="5">
        <f>+'0411'!H41</f>
        <v>60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60</v>
      </c>
    </row>
    <row r="42" spans="1:8" x14ac:dyDescent="0.25">
      <c r="A42" s="11" t="s">
        <v>35</v>
      </c>
      <c r="B42" s="5">
        <f>+'0411'!H42</f>
        <v>100</v>
      </c>
      <c r="C42" s="5"/>
      <c r="D42" s="5" t="s">
        <v>18</v>
      </c>
      <c r="E42" s="14"/>
      <c r="F42" s="4"/>
      <c r="G42" s="4">
        <f t="shared" si="0"/>
        <v>0</v>
      </c>
      <c r="H42" s="5">
        <f t="shared" si="1"/>
        <v>100</v>
      </c>
    </row>
    <row r="43" spans="1:8" x14ac:dyDescent="0.25">
      <c r="A43" s="11" t="s">
        <v>36</v>
      </c>
      <c r="B43" s="5">
        <f>+'0411'!H43</f>
        <v>20</v>
      </c>
      <c r="C43" s="5"/>
      <c r="D43" s="5" t="s">
        <v>18</v>
      </c>
      <c r="E43" s="14"/>
      <c r="F43" s="4"/>
      <c r="G43" s="4">
        <f t="shared" si="0"/>
        <v>0</v>
      </c>
      <c r="H43" s="5">
        <f t="shared" si="1"/>
        <v>20</v>
      </c>
    </row>
    <row r="44" spans="1:8" x14ac:dyDescent="0.25">
      <c r="A44" s="11" t="s">
        <v>37</v>
      </c>
      <c r="B44" s="5">
        <f>+'0411'!H44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38</v>
      </c>
      <c r="B45" s="5">
        <f>+'0411'!H45</f>
        <v>40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40</v>
      </c>
    </row>
    <row r="46" spans="1:8" x14ac:dyDescent="0.25">
      <c r="A46" s="11" t="s">
        <v>39</v>
      </c>
      <c r="B46" s="5">
        <f>+'0411'!H46</f>
        <v>100</v>
      </c>
      <c r="C46" s="5"/>
      <c r="D46" s="5" t="s">
        <v>18</v>
      </c>
      <c r="E46" s="14"/>
      <c r="F46" s="4"/>
      <c r="G46" s="4">
        <f t="shared" si="0"/>
        <v>0</v>
      </c>
      <c r="H46" s="5">
        <f t="shared" si="1"/>
        <v>100</v>
      </c>
    </row>
    <row r="47" spans="1:8" x14ac:dyDescent="0.25">
      <c r="A47" s="11" t="s">
        <v>40</v>
      </c>
      <c r="B47" s="5">
        <f>+'0411'!H47</f>
        <v>0</v>
      </c>
      <c r="C47" s="5"/>
      <c r="D47" s="5" t="s">
        <v>18</v>
      </c>
      <c r="E47" s="14"/>
      <c r="F47" s="4"/>
      <c r="G47" s="4">
        <f t="shared" si="0"/>
        <v>0</v>
      </c>
      <c r="H47" s="5">
        <f t="shared" si="1"/>
        <v>0</v>
      </c>
    </row>
    <row r="48" spans="1:8" x14ac:dyDescent="0.25">
      <c r="A48" s="11" t="s">
        <v>41</v>
      </c>
      <c r="B48" s="5">
        <f>+'0411'!H48</f>
        <v>20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20</v>
      </c>
    </row>
    <row r="49" spans="1:8" x14ac:dyDescent="0.25">
      <c r="A49" s="11" t="s">
        <v>42</v>
      </c>
      <c r="B49" s="5">
        <f>+'0411'!H49</f>
        <v>140</v>
      </c>
      <c r="C49" s="5"/>
      <c r="D49" s="5" t="s">
        <v>18</v>
      </c>
      <c r="E49" s="14">
        <v>20</v>
      </c>
      <c r="F49" s="4"/>
      <c r="G49" s="4">
        <f t="shared" si="0"/>
        <v>0</v>
      </c>
      <c r="H49" s="5">
        <f t="shared" si="1"/>
        <v>120</v>
      </c>
    </row>
    <row r="50" spans="1:8" x14ac:dyDescent="0.25">
      <c r="A50" s="11" t="s">
        <v>43</v>
      </c>
      <c r="B50" s="5">
        <f>+'0411'!H50</f>
        <v>83</v>
      </c>
      <c r="C50" s="5"/>
      <c r="D50" s="5" t="s">
        <v>18</v>
      </c>
      <c r="E50" s="14"/>
      <c r="F50" s="4"/>
      <c r="G50" s="4">
        <f t="shared" si="0"/>
        <v>0</v>
      </c>
      <c r="H50" s="5">
        <f t="shared" si="1"/>
        <v>83</v>
      </c>
    </row>
    <row r="51" spans="1:8" x14ac:dyDescent="0.25">
      <c r="A51" s="11" t="s">
        <v>74</v>
      </c>
      <c r="B51" s="5">
        <f>+'0411'!H51</f>
        <v>40</v>
      </c>
      <c r="C51" s="5">
        <v>17</v>
      </c>
      <c r="D51" s="5" t="s">
        <v>18</v>
      </c>
      <c r="E51" s="14"/>
      <c r="F51" s="4"/>
      <c r="G51" s="4">
        <f t="shared" si="0"/>
        <v>0</v>
      </c>
      <c r="H51" s="5">
        <f>B51-E51+C51</f>
        <v>57</v>
      </c>
    </row>
    <row r="52" spans="1:8" x14ac:dyDescent="0.25">
      <c r="A52" s="11" t="s">
        <v>78</v>
      </c>
      <c r="B52" s="5">
        <f>+'0411'!H52</f>
        <v>40</v>
      </c>
      <c r="C52" s="5"/>
      <c r="D52" s="5" t="s">
        <v>18</v>
      </c>
      <c r="E52" s="14"/>
      <c r="F52" s="4"/>
      <c r="G52" s="4">
        <f t="shared" si="0"/>
        <v>0</v>
      </c>
      <c r="H52" s="5">
        <f t="shared" si="1"/>
        <v>40</v>
      </c>
    </row>
    <row r="53" spans="1:8" x14ac:dyDescent="0.25">
      <c r="A53" s="11" t="s">
        <v>44</v>
      </c>
      <c r="B53" s="5">
        <f>+'0411'!H53</f>
        <v>40</v>
      </c>
      <c r="C53" s="5"/>
      <c r="D53" s="5" t="s">
        <v>18</v>
      </c>
      <c r="E53" s="14"/>
      <c r="F53" s="4"/>
      <c r="G53" s="4">
        <f t="shared" si="0"/>
        <v>0</v>
      </c>
      <c r="H53" s="5">
        <f t="shared" si="1"/>
        <v>40</v>
      </c>
    </row>
    <row r="54" spans="1:8" x14ac:dyDescent="0.25">
      <c r="A54" s="11" t="s">
        <v>45</v>
      </c>
      <c r="B54" s="5">
        <f>+'0411'!H54</f>
        <v>120</v>
      </c>
      <c r="C54" s="5"/>
      <c r="D54" s="5" t="s">
        <v>18</v>
      </c>
      <c r="E54" s="14"/>
      <c r="F54" s="4"/>
      <c r="G54" s="4">
        <f t="shared" si="0"/>
        <v>0</v>
      </c>
      <c r="H54" s="5">
        <f t="shared" si="1"/>
        <v>120</v>
      </c>
    </row>
    <row r="55" spans="1:8" x14ac:dyDescent="0.25">
      <c r="A55" s="11" t="s">
        <v>46</v>
      </c>
      <c r="B55" s="5">
        <f>+'0411'!H55</f>
        <v>20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20</v>
      </c>
    </row>
    <row r="56" spans="1:8" x14ac:dyDescent="0.25">
      <c r="A56" s="11" t="s">
        <v>47</v>
      </c>
      <c r="B56" s="5">
        <f>+'0411'!H56</f>
        <v>199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199</v>
      </c>
    </row>
    <row r="57" spans="1:8" x14ac:dyDescent="0.25">
      <c r="A57" s="11" t="s">
        <v>72</v>
      </c>
      <c r="B57" s="5">
        <f>+'0411'!H57</f>
        <v>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0</v>
      </c>
    </row>
    <row r="58" spans="1:8" x14ac:dyDescent="0.25">
      <c r="A58" s="11" t="s">
        <v>48</v>
      </c>
      <c r="B58" s="5">
        <f>+'0411'!H58</f>
        <v>60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60</v>
      </c>
    </row>
    <row r="59" spans="1:8" x14ac:dyDescent="0.25">
      <c r="A59" s="11" t="s">
        <v>75</v>
      </c>
      <c r="B59" s="5">
        <f>+'0411'!H59</f>
        <v>17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17</v>
      </c>
    </row>
    <row r="60" spans="1:8" x14ac:dyDescent="0.25">
      <c r="A60" s="11" t="s">
        <v>49</v>
      </c>
      <c r="B60" s="5">
        <f>+'0411'!H60</f>
        <v>180</v>
      </c>
      <c r="C60" s="5"/>
      <c r="D60" s="5" t="s">
        <v>18</v>
      </c>
      <c r="E60" s="14">
        <v>20</v>
      </c>
      <c r="F60" s="4"/>
      <c r="G60" s="4">
        <f t="shared" si="0"/>
        <v>0</v>
      </c>
      <c r="H60" s="5">
        <f t="shared" si="1"/>
        <v>160</v>
      </c>
    </row>
    <row r="61" spans="1:8" x14ac:dyDescent="0.25">
      <c r="A61" s="11" t="s">
        <v>50</v>
      </c>
      <c r="B61" s="5">
        <f>+'0411'!H61</f>
        <v>60</v>
      </c>
      <c r="C61" s="5"/>
      <c r="D61" s="5" t="s">
        <v>18</v>
      </c>
      <c r="E61" s="14"/>
      <c r="F61" s="4"/>
      <c r="G61" s="4">
        <f t="shared" si="0"/>
        <v>0</v>
      </c>
      <c r="H61" s="5">
        <f t="shared" si="1"/>
        <v>60</v>
      </c>
    </row>
    <row r="62" spans="1:8" x14ac:dyDescent="0.25">
      <c r="A62" s="11" t="s">
        <v>51</v>
      </c>
      <c r="B62" s="5">
        <f>+'0411'!H62</f>
        <v>20</v>
      </c>
      <c r="C62" s="5"/>
      <c r="D62" s="5" t="s">
        <v>18</v>
      </c>
      <c r="E62" s="14"/>
      <c r="F62" s="4"/>
      <c r="G62" s="4">
        <f t="shared" si="0"/>
        <v>0</v>
      </c>
      <c r="H62" s="5">
        <f t="shared" si="1"/>
        <v>20</v>
      </c>
    </row>
    <row r="63" spans="1:8" x14ac:dyDescent="0.25">
      <c r="A63" s="11" t="s">
        <v>52</v>
      </c>
      <c r="B63" s="5">
        <f>+'0411'!H63</f>
        <v>100</v>
      </c>
      <c r="C63" s="5"/>
      <c r="D63" s="5" t="s">
        <v>18</v>
      </c>
      <c r="E63" s="14"/>
      <c r="F63" s="4"/>
      <c r="G63" s="4">
        <f t="shared" si="0"/>
        <v>0</v>
      </c>
      <c r="H63" s="5">
        <f t="shared" si="1"/>
        <v>100</v>
      </c>
    </row>
    <row r="64" spans="1:8" x14ac:dyDescent="0.25">
      <c r="A64" s="11" t="s">
        <v>53</v>
      </c>
      <c r="B64" s="5">
        <f>+'0411'!H64</f>
        <v>40</v>
      </c>
      <c r="C64" s="5"/>
      <c r="D64" s="5" t="s">
        <v>18</v>
      </c>
      <c r="E64" s="14"/>
      <c r="F64" s="4"/>
      <c r="G64" s="4">
        <f t="shared" si="0"/>
        <v>0</v>
      </c>
      <c r="H64" s="5">
        <f t="shared" si="1"/>
        <v>40</v>
      </c>
    </row>
    <row r="65" spans="1:8" x14ac:dyDescent="0.25">
      <c r="A65" s="11" t="s">
        <v>54</v>
      </c>
      <c r="B65" s="5">
        <f>+'0411'!H65</f>
        <v>60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60</v>
      </c>
    </row>
    <row r="66" spans="1:8" x14ac:dyDescent="0.25">
      <c r="A66" s="11" t="s">
        <v>55</v>
      </c>
      <c r="B66" s="5">
        <f>+'0411'!H66</f>
        <v>100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100</v>
      </c>
    </row>
    <row r="67" spans="1:8" x14ac:dyDescent="0.25">
      <c r="A67" s="11" t="s">
        <v>56</v>
      </c>
      <c r="B67" s="5">
        <f>+'0411'!H67</f>
        <v>0</v>
      </c>
      <c r="C67" s="5"/>
      <c r="D67" s="5" t="s">
        <v>18</v>
      </c>
      <c r="E67" s="14"/>
      <c r="F67" s="4"/>
      <c r="G67" s="4">
        <f t="shared" si="0"/>
        <v>0</v>
      </c>
      <c r="H67" s="5">
        <f t="shared" si="1"/>
        <v>0</v>
      </c>
    </row>
    <row r="68" spans="1:8" x14ac:dyDescent="0.25">
      <c r="A68" s="11" t="s">
        <v>57</v>
      </c>
      <c r="B68" s="5">
        <f>+'0411'!H68</f>
        <v>60</v>
      </c>
      <c r="C68" s="5"/>
      <c r="D68" s="5" t="s">
        <v>18</v>
      </c>
      <c r="E68" s="14"/>
      <c r="F68" s="4"/>
      <c r="G68" s="4">
        <f t="shared" si="0"/>
        <v>0</v>
      </c>
      <c r="H68" s="5">
        <f t="shared" si="1"/>
        <v>60</v>
      </c>
    </row>
    <row r="69" spans="1:8" x14ac:dyDescent="0.25">
      <c r="A69" s="11" t="s">
        <v>58</v>
      </c>
      <c r="B69" s="5">
        <f>+'0411'!H69</f>
        <v>108</v>
      </c>
      <c r="C69" s="5">
        <v>58</v>
      </c>
      <c r="D69" s="5" t="s">
        <v>18</v>
      </c>
      <c r="E69" s="14"/>
      <c r="F69" s="4"/>
      <c r="G69" s="4">
        <f t="shared" si="0"/>
        <v>0</v>
      </c>
      <c r="H69" s="5">
        <f>B69-E69+C69</f>
        <v>166</v>
      </c>
    </row>
    <row r="70" spans="1:8" x14ac:dyDescent="0.25">
      <c r="A70" s="11" t="s">
        <v>71</v>
      </c>
      <c r="B70" s="5">
        <f>+'0411'!H70</f>
        <v>34</v>
      </c>
      <c r="C70" s="5"/>
      <c r="D70" s="5" t="s">
        <v>18</v>
      </c>
      <c r="E70" s="14"/>
      <c r="F70" s="4"/>
      <c r="G70" s="4">
        <f t="shared" si="0"/>
        <v>0</v>
      </c>
      <c r="H70" s="5">
        <f t="shared" si="1"/>
        <v>34</v>
      </c>
    </row>
    <row r="71" spans="1:8" x14ac:dyDescent="0.25">
      <c r="A71" s="11" t="s">
        <v>59</v>
      </c>
      <c r="B71" s="5">
        <f>+'0411'!H71</f>
        <v>20</v>
      </c>
      <c r="C71" s="5"/>
      <c r="D71" s="5" t="s">
        <v>18</v>
      </c>
      <c r="E71" s="14">
        <v>20</v>
      </c>
      <c r="F71" s="4"/>
      <c r="G71" s="4">
        <f t="shared" si="0"/>
        <v>0</v>
      </c>
      <c r="H71" s="5">
        <f t="shared" si="1"/>
        <v>0</v>
      </c>
    </row>
    <row r="72" spans="1:8" x14ac:dyDescent="0.25">
      <c r="A72" s="11" t="s">
        <v>81</v>
      </c>
      <c r="B72" s="5">
        <f>+'0411'!H72</f>
        <v>15</v>
      </c>
      <c r="C72" s="5"/>
      <c r="D72" s="5" t="s">
        <v>18</v>
      </c>
      <c r="E72" s="14"/>
      <c r="F72" s="4"/>
      <c r="G72" s="4">
        <f t="shared" si="0"/>
        <v>0</v>
      </c>
      <c r="H72" s="5">
        <f t="shared" si="1"/>
        <v>15</v>
      </c>
    </row>
    <row r="73" spans="1:8" x14ac:dyDescent="0.25">
      <c r="A73" s="11" t="s">
        <v>96</v>
      </c>
      <c r="B73" s="5">
        <f>+'0411'!H73</f>
        <v>0</v>
      </c>
      <c r="C73" s="5">
        <v>17</v>
      </c>
      <c r="D73" s="5" t="s">
        <v>18</v>
      </c>
      <c r="E73" s="14">
        <v>17</v>
      </c>
      <c r="F73" s="4"/>
      <c r="G73" s="4">
        <f t="shared" si="0"/>
        <v>0</v>
      </c>
      <c r="H73" s="5">
        <f>B73-E73+C73</f>
        <v>0</v>
      </c>
    </row>
    <row r="74" spans="1:8" ht="18.75" x14ac:dyDescent="0.3">
      <c r="A74" s="7" t="s">
        <v>2</v>
      </c>
      <c r="B74" s="7"/>
      <c r="C74" s="7"/>
      <c r="D74" s="7"/>
      <c r="E74" s="8"/>
      <c r="F74" s="8"/>
      <c r="G74" s="8"/>
      <c r="H74" s="8"/>
    </row>
  </sheetData>
  <mergeCells count="2">
    <mergeCell ref="A2:A3"/>
    <mergeCell ref="B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6"/>
  <sheetViews>
    <sheetView workbookViewId="0">
      <selection activeCell="E15" sqref="E15"/>
    </sheetView>
  </sheetViews>
  <sheetFormatPr baseColWidth="10" defaultRowHeight="15" x14ac:dyDescent="0.25"/>
  <cols>
    <col min="1" max="1" width="21.85546875" customWidth="1"/>
  </cols>
  <sheetData>
    <row r="2" spans="1:8" ht="15.75" x14ac:dyDescent="0.25">
      <c r="A2" s="27" t="s">
        <v>1</v>
      </c>
      <c r="B2" s="31">
        <v>45967</v>
      </c>
      <c r="C2" s="32"/>
      <c r="D2" s="32"/>
      <c r="E2" s="32"/>
      <c r="F2" s="32"/>
      <c r="G2" s="32"/>
      <c r="H2" s="33"/>
    </row>
    <row r="3" spans="1:8" x14ac:dyDescent="0.25">
      <c r="A3" s="28"/>
      <c r="B3" s="9" t="s">
        <v>4</v>
      </c>
      <c r="C3" s="9" t="s">
        <v>19</v>
      </c>
      <c r="D3" s="9" t="s">
        <v>17</v>
      </c>
      <c r="E3" s="2" t="s">
        <v>26</v>
      </c>
      <c r="F3" s="2" t="s">
        <v>25</v>
      </c>
      <c r="G3" s="2" t="s">
        <v>24</v>
      </c>
      <c r="H3" s="1" t="s">
        <v>3</v>
      </c>
    </row>
    <row r="4" spans="1:8" x14ac:dyDescent="0.25">
      <c r="A4" s="12" t="s">
        <v>5</v>
      </c>
      <c r="B4" s="5">
        <f>+'0511'!H4</f>
        <v>172</v>
      </c>
      <c r="C4" s="5"/>
      <c r="D4" s="5" t="s">
        <v>21</v>
      </c>
      <c r="E4" s="14">
        <v>5</v>
      </c>
      <c r="F4" s="4">
        <v>230.62</v>
      </c>
      <c r="G4" s="4">
        <f>E4*F4</f>
        <v>1153.0999999999999</v>
      </c>
      <c r="H4" s="5">
        <f>B4-E4</f>
        <v>167</v>
      </c>
    </row>
    <row r="5" spans="1:8" x14ac:dyDescent="0.25">
      <c r="A5" s="12" t="s">
        <v>6</v>
      </c>
      <c r="B5" s="5">
        <f>+'0511'!H5</f>
        <v>105</v>
      </c>
      <c r="C5" s="5"/>
      <c r="D5" s="5" t="s">
        <v>21</v>
      </c>
      <c r="E5" s="14">
        <v>1</v>
      </c>
      <c r="F5" s="4">
        <v>91.2</v>
      </c>
      <c r="G5" s="4">
        <f t="shared" ref="G5:G75" si="0">E5*F5</f>
        <v>91.2</v>
      </c>
      <c r="H5" s="5">
        <f>B5-E5+C5</f>
        <v>104</v>
      </c>
    </row>
    <row r="6" spans="1:8" x14ac:dyDescent="0.25">
      <c r="A6" s="12" t="s">
        <v>7</v>
      </c>
      <c r="B6" s="5">
        <f>+'0511'!H6</f>
        <v>208</v>
      </c>
      <c r="C6" s="5"/>
      <c r="D6" s="5" t="s">
        <v>21</v>
      </c>
      <c r="E6" s="14"/>
      <c r="F6" s="4">
        <v>3500</v>
      </c>
      <c r="G6" s="4">
        <f t="shared" si="0"/>
        <v>0</v>
      </c>
      <c r="H6" s="5">
        <f t="shared" ref="H6:H74" si="1">B6-E6</f>
        <v>208</v>
      </c>
    </row>
    <row r="7" spans="1:8" x14ac:dyDescent="0.25">
      <c r="A7" s="12" t="s">
        <v>8</v>
      </c>
      <c r="B7" s="5">
        <f>+'0511'!H7</f>
        <v>59</v>
      </c>
      <c r="C7" s="5"/>
      <c r="D7" s="5" t="s">
        <v>21</v>
      </c>
      <c r="E7" s="14">
        <v>2</v>
      </c>
      <c r="F7" s="4">
        <v>3300</v>
      </c>
      <c r="G7" s="4">
        <f t="shared" si="0"/>
        <v>6600</v>
      </c>
      <c r="H7" s="5">
        <f>B7-E7</f>
        <v>57</v>
      </c>
    </row>
    <row r="8" spans="1:8" x14ac:dyDescent="0.25">
      <c r="A8" s="12" t="s">
        <v>9</v>
      </c>
      <c r="B8" s="5">
        <f>+'0511'!H8</f>
        <v>45</v>
      </c>
      <c r="C8" s="5"/>
      <c r="D8" s="5" t="s">
        <v>21</v>
      </c>
      <c r="E8" s="14">
        <v>1</v>
      </c>
      <c r="F8" s="4">
        <v>1554.62</v>
      </c>
      <c r="G8" s="4">
        <f t="shared" si="0"/>
        <v>1554.62</v>
      </c>
      <c r="H8" s="5">
        <f t="shared" si="1"/>
        <v>44</v>
      </c>
    </row>
    <row r="9" spans="1:8" x14ac:dyDescent="0.25">
      <c r="A9" s="12" t="s">
        <v>10</v>
      </c>
      <c r="B9" s="5">
        <f>+'0511'!H9</f>
        <v>2156</v>
      </c>
      <c r="C9" s="5"/>
      <c r="D9" s="5" t="s">
        <v>18</v>
      </c>
      <c r="E9" s="14">
        <f>3*16</f>
        <v>48</v>
      </c>
      <c r="F9" s="4">
        <v>210</v>
      </c>
      <c r="G9" s="4">
        <f t="shared" si="0"/>
        <v>10080</v>
      </c>
      <c r="H9" s="5">
        <f t="shared" si="1"/>
        <v>2108</v>
      </c>
    </row>
    <row r="10" spans="1:8" x14ac:dyDescent="0.25">
      <c r="A10" s="12" t="s">
        <v>23</v>
      </c>
      <c r="B10" s="5">
        <f>+'0511'!H10</f>
        <v>24</v>
      </c>
      <c r="C10" s="5"/>
      <c r="D10" s="5" t="s">
        <v>18</v>
      </c>
      <c r="E10" s="14"/>
      <c r="F10" s="4"/>
      <c r="G10" s="4">
        <f t="shared" si="0"/>
        <v>0</v>
      </c>
      <c r="H10" s="5">
        <f t="shared" si="1"/>
        <v>24</v>
      </c>
    </row>
    <row r="11" spans="1:8" x14ac:dyDescent="0.25">
      <c r="A11" s="12" t="s">
        <v>11</v>
      </c>
      <c r="B11" s="5">
        <f>+'0511'!H11</f>
        <v>1020</v>
      </c>
      <c r="C11" s="5"/>
      <c r="D11" s="5" t="s">
        <v>18</v>
      </c>
      <c r="E11" s="14">
        <v>60</v>
      </c>
      <c r="F11" s="4">
        <v>290</v>
      </c>
      <c r="G11" s="4">
        <f t="shared" si="0"/>
        <v>17400</v>
      </c>
      <c r="H11" s="5">
        <f>B11-E11</f>
        <v>960</v>
      </c>
    </row>
    <row r="12" spans="1:8" x14ac:dyDescent="0.25">
      <c r="A12" s="12" t="s">
        <v>12</v>
      </c>
      <c r="B12" s="5">
        <f>+'0511'!H12</f>
        <v>2575</v>
      </c>
      <c r="C12" s="5"/>
      <c r="D12" s="5" t="s">
        <v>18</v>
      </c>
      <c r="E12" s="14"/>
      <c r="F12" s="4">
        <v>49.5</v>
      </c>
      <c r="G12" s="4">
        <f t="shared" si="0"/>
        <v>0</v>
      </c>
      <c r="H12" s="5">
        <f t="shared" si="1"/>
        <v>2575</v>
      </c>
    </row>
    <row r="13" spans="1:8" x14ac:dyDescent="0.25">
      <c r="A13" s="12" t="s">
        <v>13</v>
      </c>
      <c r="B13" s="5">
        <f>+'0511'!H13</f>
        <v>325</v>
      </c>
      <c r="C13" s="5"/>
      <c r="D13" s="5" t="s">
        <v>18</v>
      </c>
      <c r="E13" s="14"/>
      <c r="F13" s="4">
        <v>285</v>
      </c>
      <c r="G13" s="4">
        <f t="shared" si="0"/>
        <v>0</v>
      </c>
      <c r="H13" s="5">
        <f t="shared" si="1"/>
        <v>325</v>
      </c>
    </row>
    <row r="14" spans="1:8" x14ac:dyDescent="0.25">
      <c r="A14" s="12" t="s">
        <v>14</v>
      </c>
      <c r="B14" s="5">
        <f>+'0511'!H14</f>
        <v>52525</v>
      </c>
      <c r="C14" s="5"/>
      <c r="D14" s="5" t="s">
        <v>18</v>
      </c>
      <c r="E14" s="14">
        <f>46*25</f>
        <v>1150</v>
      </c>
      <c r="F14" s="4">
        <v>93</v>
      </c>
      <c r="G14" s="4">
        <f t="shared" si="0"/>
        <v>106950</v>
      </c>
      <c r="H14" s="5">
        <f>B14-E14</f>
        <v>51375</v>
      </c>
    </row>
    <row r="15" spans="1:8" x14ac:dyDescent="0.25">
      <c r="A15" s="12" t="s">
        <v>15</v>
      </c>
      <c r="B15" s="5">
        <f>+'0511'!H15</f>
        <v>1876</v>
      </c>
      <c r="C15" s="5"/>
      <c r="D15" s="5" t="s">
        <v>18</v>
      </c>
      <c r="E15" s="14">
        <v>56</v>
      </c>
      <c r="F15" s="4">
        <v>67.23</v>
      </c>
      <c r="G15" s="4">
        <f t="shared" si="0"/>
        <v>3764.88</v>
      </c>
      <c r="H15" s="5">
        <f t="shared" si="1"/>
        <v>1820</v>
      </c>
    </row>
    <row r="16" spans="1:8" x14ac:dyDescent="0.25">
      <c r="A16" s="12" t="s">
        <v>16</v>
      </c>
      <c r="B16" s="5">
        <f>+'0511'!H16</f>
        <v>325</v>
      </c>
      <c r="C16" s="5"/>
      <c r="D16" s="5" t="s">
        <v>18</v>
      </c>
      <c r="E16" s="14"/>
      <c r="F16" s="4">
        <v>480</v>
      </c>
      <c r="G16" s="4">
        <f t="shared" si="0"/>
        <v>0</v>
      </c>
      <c r="H16" s="5">
        <f t="shared" si="1"/>
        <v>325</v>
      </c>
    </row>
    <row r="17" spans="1:8" x14ac:dyDescent="0.25">
      <c r="A17" s="12" t="s">
        <v>20</v>
      </c>
      <c r="B17" s="5">
        <f>+'0511'!H17</f>
        <v>26</v>
      </c>
      <c r="C17" s="5"/>
      <c r="D17" s="5" t="s">
        <v>21</v>
      </c>
      <c r="E17" s="14"/>
      <c r="F17" s="4"/>
      <c r="G17" s="4">
        <f t="shared" si="0"/>
        <v>0</v>
      </c>
      <c r="H17" s="5">
        <f t="shared" si="1"/>
        <v>26</v>
      </c>
    </row>
    <row r="18" spans="1:8" x14ac:dyDescent="0.25">
      <c r="A18" s="13" t="s">
        <v>60</v>
      </c>
      <c r="B18" s="5">
        <f>+'0511'!H18</f>
        <v>1494.1130000000001</v>
      </c>
      <c r="C18" s="5"/>
      <c r="D18" s="5" t="s">
        <v>18</v>
      </c>
      <c r="E18" s="13">
        <v>31.87</v>
      </c>
      <c r="F18" s="10">
        <v>877.28</v>
      </c>
      <c r="G18" s="10">
        <f t="shared" si="0"/>
        <v>27958.9136</v>
      </c>
      <c r="H18" s="5">
        <f t="shared" si="1"/>
        <v>1462.2430000000002</v>
      </c>
    </row>
    <row r="19" spans="1:8" x14ac:dyDescent="0.25">
      <c r="A19" s="13" t="s">
        <v>61</v>
      </c>
      <c r="B19" s="5">
        <f>+'0511'!H19</f>
        <v>344.971</v>
      </c>
      <c r="C19" s="5"/>
      <c r="D19" s="5" t="s">
        <v>18</v>
      </c>
      <c r="E19" s="13">
        <v>22.75</v>
      </c>
      <c r="F19" s="10">
        <v>601.1</v>
      </c>
      <c r="G19" s="10">
        <f t="shared" si="0"/>
        <v>13675.025</v>
      </c>
      <c r="H19" s="5">
        <f t="shared" si="1"/>
        <v>322.221</v>
      </c>
    </row>
    <row r="20" spans="1:8" x14ac:dyDescent="0.25">
      <c r="A20" s="13" t="s">
        <v>62</v>
      </c>
      <c r="B20" s="5">
        <f>+'0511'!H20</f>
        <v>950.55000000000007</v>
      </c>
      <c r="C20" s="5"/>
      <c r="D20" s="5" t="s">
        <v>18</v>
      </c>
      <c r="E20" s="13">
        <v>2.34</v>
      </c>
      <c r="F20" s="10">
        <v>568.61</v>
      </c>
      <c r="G20" s="10">
        <f t="shared" si="0"/>
        <v>1330.5473999999999</v>
      </c>
      <c r="H20" s="5">
        <f t="shared" si="1"/>
        <v>948.21</v>
      </c>
    </row>
    <row r="21" spans="1:8" x14ac:dyDescent="0.25">
      <c r="A21" s="13" t="s">
        <v>63</v>
      </c>
      <c r="B21" s="5">
        <f>+'0511'!H21</f>
        <v>2461.8689999999997</v>
      </c>
      <c r="C21" s="5"/>
      <c r="D21" s="5" t="s">
        <v>18</v>
      </c>
      <c r="E21" s="13">
        <v>13.42</v>
      </c>
      <c r="F21" s="10">
        <v>333.04</v>
      </c>
      <c r="G21" s="10">
        <f t="shared" si="0"/>
        <v>4469.3968000000004</v>
      </c>
      <c r="H21" s="5">
        <f>B21-E21</f>
        <v>2448.4489999999996</v>
      </c>
    </row>
    <row r="22" spans="1:8" x14ac:dyDescent="0.25">
      <c r="A22" s="13" t="s">
        <v>64</v>
      </c>
      <c r="B22" s="5">
        <f>+'0511'!H22</f>
        <v>1261.08</v>
      </c>
      <c r="C22" s="5"/>
      <c r="D22" s="5" t="s">
        <v>18</v>
      </c>
      <c r="E22" s="13"/>
      <c r="F22" s="10">
        <v>714.82</v>
      </c>
      <c r="G22" s="10">
        <f t="shared" si="0"/>
        <v>0</v>
      </c>
      <c r="H22" s="5">
        <f t="shared" si="1"/>
        <v>1261.08</v>
      </c>
    </row>
    <row r="23" spans="1:8" x14ac:dyDescent="0.25">
      <c r="A23" s="13" t="s">
        <v>65</v>
      </c>
      <c r="B23" s="5">
        <f>+'0511'!H23</f>
        <v>158</v>
      </c>
      <c r="C23" s="5"/>
      <c r="D23" s="5" t="s">
        <v>18</v>
      </c>
      <c r="E23" s="13"/>
      <c r="F23" s="10">
        <v>487.38</v>
      </c>
      <c r="G23" s="10">
        <f t="shared" si="0"/>
        <v>0</v>
      </c>
      <c r="H23" s="5">
        <f t="shared" si="1"/>
        <v>158</v>
      </c>
    </row>
    <row r="24" spans="1:8" x14ac:dyDescent="0.25">
      <c r="A24" s="13" t="s">
        <v>66</v>
      </c>
      <c r="B24" s="5">
        <f>+'0511'!H24</f>
        <v>973.82400000000007</v>
      </c>
      <c r="C24" s="5"/>
      <c r="D24" s="5" t="s">
        <v>18</v>
      </c>
      <c r="E24" s="13">
        <v>1.7</v>
      </c>
      <c r="F24" s="10">
        <v>844.79</v>
      </c>
      <c r="G24" s="10">
        <f t="shared" si="0"/>
        <v>1436.1429999999998</v>
      </c>
      <c r="H24" s="5">
        <f t="shared" si="1"/>
        <v>972.12400000000002</v>
      </c>
    </row>
    <row r="25" spans="1:8" x14ac:dyDescent="0.25">
      <c r="A25" s="13" t="s">
        <v>67</v>
      </c>
      <c r="B25" s="5">
        <f>+'0511'!H25</f>
        <v>1103.3</v>
      </c>
      <c r="C25" s="5"/>
      <c r="D25" s="5" t="s">
        <v>18</v>
      </c>
      <c r="E25" s="13"/>
      <c r="F25" s="10">
        <v>901.65</v>
      </c>
      <c r="G25" s="10">
        <f t="shared" si="0"/>
        <v>0</v>
      </c>
      <c r="H25" s="5">
        <f t="shared" si="1"/>
        <v>1103.3</v>
      </c>
    </row>
    <row r="26" spans="1:8" x14ac:dyDescent="0.25">
      <c r="A26" s="13" t="s">
        <v>68</v>
      </c>
      <c r="B26" s="5">
        <f>+'0511'!H26</f>
        <v>225.04</v>
      </c>
      <c r="C26" s="5"/>
      <c r="D26" s="5" t="s">
        <v>18</v>
      </c>
      <c r="E26" s="13">
        <v>16.600000000000001</v>
      </c>
      <c r="F26" s="10">
        <v>877.28</v>
      </c>
      <c r="G26" s="10">
        <f t="shared" si="0"/>
        <v>14562.848</v>
      </c>
      <c r="H26" s="5">
        <f t="shared" si="1"/>
        <v>208.44</v>
      </c>
    </row>
    <row r="27" spans="1:8" x14ac:dyDescent="0.25">
      <c r="A27" s="13" t="s">
        <v>69</v>
      </c>
      <c r="B27" s="5">
        <f>+'0511'!H27</f>
        <v>896.6099999999999</v>
      </c>
      <c r="C27" s="5"/>
      <c r="D27" s="5" t="s">
        <v>18</v>
      </c>
      <c r="E27" s="13"/>
      <c r="F27" s="10">
        <v>300.55</v>
      </c>
      <c r="G27" s="10">
        <f t="shared" si="0"/>
        <v>0</v>
      </c>
      <c r="H27" s="5">
        <f t="shared" si="1"/>
        <v>896.6099999999999</v>
      </c>
    </row>
    <row r="28" spans="1:8" x14ac:dyDescent="0.25">
      <c r="A28" s="13" t="s">
        <v>70</v>
      </c>
      <c r="B28" s="5">
        <f>+'0511'!H28</f>
        <v>14753.635999999999</v>
      </c>
      <c r="C28" s="5"/>
      <c r="D28" s="5" t="s">
        <v>18</v>
      </c>
      <c r="E28" s="13">
        <v>112</v>
      </c>
      <c r="F28" s="10">
        <v>178.7</v>
      </c>
      <c r="G28" s="10">
        <f t="shared" si="0"/>
        <v>20014.399999999998</v>
      </c>
      <c r="H28" s="5">
        <f t="shared" si="1"/>
        <v>14641.635999999999</v>
      </c>
    </row>
    <row r="29" spans="1:8" x14ac:dyDescent="0.25">
      <c r="A29" s="11" t="s">
        <v>27</v>
      </c>
      <c r="B29" s="5">
        <f>+'0511'!H29</f>
        <v>36</v>
      </c>
      <c r="C29" s="5">
        <v>109</v>
      </c>
      <c r="D29" s="5" t="s">
        <v>18</v>
      </c>
      <c r="E29" s="14">
        <v>17</v>
      </c>
      <c r="F29" s="4"/>
      <c r="G29" s="4">
        <f t="shared" si="0"/>
        <v>0</v>
      </c>
      <c r="H29" s="5">
        <f>B29-E29+C29</f>
        <v>128</v>
      </c>
    </row>
    <row r="30" spans="1:8" x14ac:dyDescent="0.25">
      <c r="A30" s="11" t="s">
        <v>97</v>
      </c>
      <c r="B30" s="5">
        <f>+'0511'!H30</f>
        <v>0</v>
      </c>
      <c r="C30" s="5"/>
      <c r="D30" s="5" t="s">
        <v>18</v>
      </c>
      <c r="E30" s="14"/>
      <c r="F30" s="4"/>
      <c r="G30" s="4">
        <f t="shared" si="0"/>
        <v>0</v>
      </c>
      <c r="H30" s="5">
        <f>B30-E30+C30</f>
        <v>0</v>
      </c>
    </row>
    <row r="31" spans="1:8" x14ac:dyDescent="0.25">
      <c r="A31" s="11" t="s">
        <v>28</v>
      </c>
      <c r="B31" s="5">
        <f>+'0511'!H31</f>
        <v>0</v>
      </c>
      <c r="C31" s="5"/>
      <c r="D31" s="5" t="s">
        <v>18</v>
      </c>
      <c r="E31" s="14"/>
      <c r="F31" s="4"/>
      <c r="G31" s="4">
        <f t="shared" si="0"/>
        <v>0</v>
      </c>
      <c r="H31" s="5">
        <f t="shared" si="1"/>
        <v>0</v>
      </c>
    </row>
    <row r="32" spans="1:8" x14ac:dyDescent="0.25">
      <c r="A32" s="11" t="s">
        <v>79</v>
      </c>
      <c r="B32" s="5">
        <f>+'0511'!H32</f>
        <v>40</v>
      </c>
      <c r="C32" s="5"/>
      <c r="D32" s="5" t="s">
        <v>18</v>
      </c>
      <c r="E32" s="14"/>
      <c r="F32" s="4"/>
      <c r="G32" s="4">
        <f t="shared" si="0"/>
        <v>0</v>
      </c>
      <c r="H32" s="5">
        <f t="shared" si="1"/>
        <v>40</v>
      </c>
    </row>
    <row r="33" spans="1:8" x14ac:dyDescent="0.25">
      <c r="A33" s="11" t="s">
        <v>73</v>
      </c>
      <c r="B33" s="5">
        <f>+'0511'!H33</f>
        <v>100</v>
      </c>
      <c r="C33" s="5"/>
      <c r="D33" s="5" t="s">
        <v>18</v>
      </c>
      <c r="E33" s="14"/>
      <c r="F33" s="4"/>
      <c r="G33" s="4">
        <f t="shared" si="0"/>
        <v>0</v>
      </c>
      <c r="H33" s="5">
        <f t="shared" si="1"/>
        <v>100</v>
      </c>
    </row>
    <row r="34" spans="1:8" x14ac:dyDescent="0.25">
      <c r="A34" s="11" t="s">
        <v>29</v>
      </c>
      <c r="B34" s="5">
        <f>+'0511'!H34</f>
        <v>60</v>
      </c>
      <c r="C34" s="5"/>
      <c r="D34" s="5" t="s">
        <v>18</v>
      </c>
      <c r="E34" s="14"/>
      <c r="F34" s="4"/>
      <c r="G34" s="4">
        <f t="shared" si="0"/>
        <v>0</v>
      </c>
      <c r="H34" s="5">
        <f t="shared" si="1"/>
        <v>60</v>
      </c>
    </row>
    <row r="35" spans="1:8" x14ac:dyDescent="0.25">
      <c r="A35" s="11" t="s">
        <v>30</v>
      </c>
      <c r="B35" s="5">
        <f>+'0511'!H35</f>
        <v>115</v>
      </c>
      <c r="C35" s="5"/>
      <c r="D35" s="5" t="s">
        <v>18</v>
      </c>
      <c r="E35" s="14"/>
      <c r="F35" s="4"/>
      <c r="G35" s="4">
        <f t="shared" si="0"/>
        <v>0</v>
      </c>
      <c r="H35" s="5">
        <f t="shared" si="1"/>
        <v>115</v>
      </c>
    </row>
    <row r="36" spans="1:8" x14ac:dyDescent="0.25">
      <c r="A36" s="11" t="s">
        <v>77</v>
      </c>
      <c r="B36" s="5">
        <f>+'0511'!H36</f>
        <v>60</v>
      </c>
      <c r="C36" s="5"/>
      <c r="D36" s="5" t="s">
        <v>18</v>
      </c>
      <c r="E36" s="14"/>
      <c r="F36" s="4"/>
      <c r="G36" s="4">
        <f t="shared" si="0"/>
        <v>0</v>
      </c>
      <c r="H36" s="5">
        <f t="shared" si="1"/>
        <v>60</v>
      </c>
    </row>
    <row r="37" spans="1:8" x14ac:dyDescent="0.25">
      <c r="A37" s="11" t="s">
        <v>31</v>
      </c>
      <c r="B37" s="5">
        <f>+'0511'!H37</f>
        <v>0</v>
      </c>
      <c r="C37" s="5"/>
      <c r="D37" s="5" t="s">
        <v>18</v>
      </c>
      <c r="E37" s="14"/>
      <c r="F37" s="4"/>
      <c r="G37" s="4">
        <f t="shared" si="0"/>
        <v>0</v>
      </c>
      <c r="H37" s="5">
        <f t="shared" si="1"/>
        <v>0</v>
      </c>
    </row>
    <row r="38" spans="1:8" x14ac:dyDescent="0.25">
      <c r="A38" s="11" t="s">
        <v>32</v>
      </c>
      <c r="B38" s="5">
        <f>+'0511'!H38</f>
        <v>40</v>
      </c>
      <c r="C38" s="5"/>
      <c r="D38" s="5" t="s">
        <v>18</v>
      </c>
      <c r="E38" s="14"/>
      <c r="F38" s="4"/>
      <c r="G38" s="4">
        <f t="shared" si="0"/>
        <v>0</v>
      </c>
      <c r="H38" s="5">
        <f t="shared" si="1"/>
        <v>40</v>
      </c>
    </row>
    <row r="39" spans="1:8" x14ac:dyDescent="0.25">
      <c r="A39" s="11" t="s">
        <v>76</v>
      </c>
      <c r="B39" s="5">
        <f>+'0511'!H39</f>
        <v>17</v>
      </c>
      <c r="C39" s="5"/>
      <c r="D39" s="5" t="s">
        <v>18</v>
      </c>
      <c r="E39" s="14"/>
      <c r="F39" s="4"/>
      <c r="G39" s="4">
        <f t="shared" si="0"/>
        <v>0</v>
      </c>
      <c r="H39" s="5">
        <f t="shared" si="1"/>
        <v>17</v>
      </c>
    </row>
    <row r="40" spans="1:8" x14ac:dyDescent="0.25">
      <c r="A40" s="11" t="s">
        <v>33</v>
      </c>
      <c r="B40" s="5">
        <f>+'0511'!H40</f>
        <v>40</v>
      </c>
      <c r="C40" s="5"/>
      <c r="D40" s="5" t="s">
        <v>18</v>
      </c>
      <c r="E40" s="14"/>
      <c r="F40" s="4"/>
      <c r="G40" s="4">
        <f t="shared" si="0"/>
        <v>0</v>
      </c>
      <c r="H40" s="5">
        <f t="shared" si="1"/>
        <v>40</v>
      </c>
    </row>
    <row r="41" spans="1:8" x14ac:dyDescent="0.25">
      <c r="A41" s="11" t="s">
        <v>34</v>
      </c>
      <c r="B41" s="5">
        <f>+'0511'!H41</f>
        <v>60</v>
      </c>
      <c r="C41" s="5"/>
      <c r="D41" s="5" t="s">
        <v>18</v>
      </c>
      <c r="E41" s="14"/>
      <c r="F41" s="4"/>
      <c r="G41" s="4">
        <f t="shared" si="0"/>
        <v>0</v>
      </c>
      <c r="H41" s="5">
        <f t="shared" si="1"/>
        <v>60</v>
      </c>
    </row>
    <row r="42" spans="1:8" x14ac:dyDescent="0.25">
      <c r="A42" s="11" t="s">
        <v>102</v>
      </c>
      <c r="B42" s="5"/>
      <c r="C42" s="5">
        <v>102</v>
      </c>
      <c r="D42" s="5" t="s">
        <v>18</v>
      </c>
      <c r="E42" s="14">
        <v>51</v>
      </c>
      <c r="F42" s="4"/>
      <c r="G42" s="4"/>
      <c r="H42" s="5">
        <f>B42-E42+C42</f>
        <v>51</v>
      </c>
    </row>
    <row r="43" spans="1:8" x14ac:dyDescent="0.25">
      <c r="A43" s="11" t="s">
        <v>35</v>
      </c>
      <c r="B43" s="5">
        <f>+'0511'!H42</f>
        <v>100</v>
      </c>
      <c r="C43" s="5"/>
      <c r="D43" s="5" t="s">
        <v>18</v>
      </c>
      <c r="E43" s="14"/>
      <c r="F43" s="4"/>
      <c r="G43" s="4">
        <f t="shared" si="0"/>
        <v>0</v>
      </c>
      <c r="H43" s="5">
        <f t="shared" si="1"/>
        <v>100</v>
      </c>
    </row>
    <row r="44" spans="1:8" x14ac:dyDescent="0.25">
      <c r="A44" s="11" t="s">
        <v>36</v>
      </c>
      <c r="B44" s="5">
        <f>+'0511'!H43</f>
        <v>20</v>
      </c>
      <c r="C44" s="5"/>
      <c r="D44" s="5" t="s">
        <v>18</v>
      </c>
      <c r="E44" s="14"/>
      <c r="F44" s="4"/>
      <c r="G44" s="4">
        <f t="shared" si="0"/>
        <v>0</v>
      </c>
      <c r="H44" s="5">
        <f t="shared" si="1"/>
        <v>20</v>
      </c>
    </row>
    <row r="45" spans="1:8" x14ac:dyDescent="0.25">
      <c r="A45" s="11" t="s">
        <v>37</v>
      </c>
      <c r="B45" s="5">
        <f>+'0511'!H44</f>
        <v>20</v>
      </c>
      <c r="C45" s="5"/>
      <c r="D45" s="5" t="s">
        <v>18</v>
      </c>
      <c r="E45" s="14"/>
      <c r="F45" s="4"/>
      <c r="G45" s="4">
        <f t="shared" si="0"/>
        <v>0</v>
      </c>
      <c r="H45" s="5">
        <f t="shared" si="1"/>
        <v>20</v>
      </c>
    </row>
    <row r="46" spans="1:8" x14ac:dyDescent="0.25">
      <c r="A46" s="11" t="s">
        <v>38</v>
      </c>
      <c r="B46" s="5">
        <f>+'0511'!H45</f>
        <v>40</v>
      </c>
      <c r="C46" s="5"/>
      <c r="D46" s="5" t="s">
        <v>18</v>
      </c>
      <c r="E46" s="14"/>
      <c r="F46" s="4"/>
      <c r="G46" s="4">
        <f t="shared" si="0"/>
        <v>0</v>
      </c>
      <c r="H46" s="5">
        <f t="shared" si="1"/>
        <v>40</v>
      </c>
    </row>
    <row r="47" spans="1:8" x14ac:dyDescent="0.25">
      <c r="A47" s="11" t="s">
        <v>39</v>
      </c>
      <c r="B47" s="5">
        <f>+'0511'!H46</f>
        <v>100</v>
      </c>
      <c r="C47" s="5"/>
      <c r="D47" s="5" t="s">
        <v>18</v>
      </c>
      <c r="E47" s="14"/>
      <c r="F47" s="4"/>
      <c r="G47" s="4">
        <f t="shared" si="0"/>
        <v>0</v>
      </c>
      <c r="H47" s="5">
        <f t="shared" si="1"/>
        <v>100</v>
      </c>
    </row>
    <row r="48" spans="1:8" x14ac:dyDescent="0.25">
      <c r="A48" s="11" t="s">
        <v>40</v>
      </c>
      <c r="B48" s="5">
        <f>+'0511'!H47</f>
        <v>0</v>
      </c>
      <c r="C48" s="5"/>
      <c r="D48" s="5" t="s">
        <v>18</v>
      </c>
      <c r="E48" s="14"/>
      <c r="F48" s="4"/>
      <c r="G48" s="4">
        <f t="shared" si="0"/>
        <v>0</v>
      </c>
      <c r="H48" s="5">
        <f t="shared" si="1"/>
        <v>0</v>
      </c>
    </row>
    <row r="49" spans="1:8" x14ac:dyDescent="0.25">
      <c r="A49" s="11" t="s">
        <v>41</v>
      </c>
      <c r="B49" s="5">
        <f>+'0511'!H48</f>
        <v>20</v>
      </c>
      <c r="C49" s="5"/>
      <c r="D49" s="5" t="s">
        <v>18</v>
      </c>
      <c r="E49" s="14"/>
      <c r="F49" s="4"/>
      <c r="G49" s="4">
        <f t="shared" si="0"/>
        <v>0</v>
      </c>
      <c r="H49" s="5">
        <f t="shared" si="1"/>
        <v>20</v>
      </c>
    </row>
    <row r="50" spans="1:8" x14ac:dyDescent="0.25">
      <c r="A50" s="11" t="s">
        <v>42</v>
      </c>
      <c r="B50" s="5">
        <f>+'0511'!H49</f>
        <v>120</v>
      </c>
      <c r="C50" s="5"/>
      <c r="D50" s="5" t="s">
        <v>18</v>
      </c>
      <c r="E50" s="14"/>
      <c r="F50" s="4"/>
      <c r="G50" s="4">
        <f t="shared" si="0"/>
        <v>0</v>
      </c>
      <c r="H50" s="5">
        <f t="shared" si="1"/>
        <v>120</v>
      </c>
    </row>
    <row r="51" spans="1:8" x14ac:dyDescent="0.25">
      <c r="A51" s="11" t="s">
        <v>43</v>
      </c>
      <c r="B51" s="5">
        <f>+'0511'!H50</f>
        <v>83</v>
      </c>
      <c r="C51" s="5"/>
      <c r="D51" s="5" t="s">
        <v>18</v>
      </c>
      <c r="E51" s="14"/>
      <c r="F51" s="4"/>
      <c r="G51" s="4">
        <f t="shared" si="0"/>
        <v>0</v>
      </c>
      <c r="H51" s="5">
        <f t="shared" si="1"/>
        <v>83</v>
      </c>
    </row>
    <row r="52" spans="1:8" x14ac:dyDescent="0.25">
      <c r="A52" s="11" t="s">
        <v>103</v>
      </c>
      <c r="B52" s="5"/>
      <c r="C52" s="5">
        <v>17</v>
      </c>
      <c r="D52" s="5" t="s">
        <v>18</v>
      </c>
      <c r="E52" s="14">
        <v>17</v>
      </c>
      <c r="F52" s="4"/>
      <c r="G52" s="4">
        <f t="shared" ref="G52" si="2">E52*F52</f>
        <v>0</v>
      </c>
      <c r="H52" s="5">
        <f>B52-E52+C52-F52</f>
        <v>0</v>
      </c>
    </row>
    <row r="53" spans="1:8" x14ac:dyDescent="0.25">
      <c r="A53" s="11" t="s">
        <v>74</v>
      </c>
      <c r="B53" s="5">
        <f>+'0511'!H51</f>
        <v>57</v>
      </c>
      <c r="C53" s="5"/>
      <c r="D53" s="5" t="s">
        <v>18</v>
      </c>
      <c r="E53" s="14"/>
      <c r="F53" s="4"/>
      <c r="G53" s="4">
        <f t="shared" si="0"/>
        <v>0</v>
      </c>
      <c r="H53" s="5">
        <f>B53-E53+C53</f>
        <v>57</v>
      </c>
    </row>
    <row r="54" spans="1:8" x14ac:dyDescent="0.25">
      <c r="A54" s="11" t="s">
        <v>78</v>
      </c>
      <c r="B54" s="5">
        <f>+'0511'!H52</f>
        <v>40</v>
      </c>
      <c r="C54" s="5"/>
      <c r="D54" s="5" t="s">
        <v>18</v>
      </c>
      <c r="E54" s="14"/>
      <c r="F54" s="4"/>
      <c r="G54" s="4">
        <f t="shared" si="0"/>
        <v>0</v>
      </c>
      <c r="H54" s="5">
        <f t="shared" si="1"/>
        <v>40</v>
      </c>
    </row>
    <row r="55" spans="1:8" x14ac:dyDescent="0.25">
      <c r="A55" s="11" t="s">
        <v>44</v>
      </c>
      <c r="B55" s="5">
        <f>+'0511'!H53</f>
        <v>40</v>
      </c>
      <c r="C55" s="5"/>
      <c r="D55" s="5" t="s">
        <v>18</v>
      </c>
      <c r="E55" s="14"/>
      <c r="F55" s="4"/>
      <c r="G55" s="4">
        <f t="shared" si="0"/>
        <v>0</v>
      </c>
      <c r="H55" s="5">
        <f t="shared" si="1"/>
        <v>40</v>
      </c>
    </row>
    <row r="56" spans="1:8" x14ac:dyDescent="0.25">
      <c r="A56" s="11" t="s">
        <v>45</v>
      </c>
      <c r="B56" s="5">
        <f>+'0511'!H54</f>
        <v>120</v>
      </c>
      <c r="C56" s="5"/>
      <c r="D56" s="5" t="s">
        <v>18</v>
      </c>
      <c r="E56" s="14"/>
      <c r="F56" s="4"/>
      <c r="G56" s="4">
        <f t="shared" si="0"/>
        <v>0</v>
      </c>
      <c r="H56" s="5">
        <f t="shared" si="1"/>
        <v>120</v>
      </c>
    </row>
    <row r="57" spans="1:8" x14ac:dyDescent="0.25">
      <c r="A57" s="11" t="s">
        <v>46</v>
      </c>
      <c r="B57" s="5">
        <f>+'0511'!H55</f>
        <v>20</v>
      </c>
      <c r="C57" s="5"/>
      <c r="D57" s="5" t="s">
        <v>18</v>
      </c>
      <c r="E57" s="14"/>
      <c r="F57" s="4"/>
      <c r="G57" s="4">
        <f t="shared" si="0"/>
        <v>0</v>
      </c>
      <c r="H57" s="5">
        <f t="shared" si="1"/>
        <v>20</v>
      </c>
    </row>
    <row r="58" spans="1:8" x14ac:dyDescent="0.25">
      <c r="A58" s="11" t="s">
        <v>47</v>
      </c>
      <c r="B58" s="5">
        <f>+'0511'!H56</f>
        <v>199</v>
      </c>
      <c r="C58" s="5"/>
      <c r="D58" s="5" t="s">
        <v>18</v>
      </c>
      <c r="E58" s="14"/>
      <c r="F58" s="4"/>
      <c r="G58" s="4">
        <f t="shared" si="0"/>
        <v>0</v>
      </c>
      <c r="H58" s="5">
        <f t="shared" si="1"/>
        <v>199</v>
      </c>
    </row>
    <row r="59" spans="1:8" x14ac:dyDescent="0.25">
      <c r="A59" s="11" t="s">
        <v>72</v>
      </c>
      <c r="B59" s="5">
        <f>+'0511'!H57</f>
        <v>0</v>
      </c>
      <c r="C59" s="5"/>
      <c r="D59" s="5" t="s">
        <v>18</v>
      </c>
      <c r="E59" s="14"/>
      <c r="F59" s="4"/>
      <c r="G59" s="4">
        <f t="shared" si="0"/>
        <v>0</v>
      </c>
      <c r="H59" s="5">
        <f t="shared" si="1"/>
        <v>0</v>
      </c>
    </row>
    <row r="60" spans="1:8" x14ac:dyDescent="0.25">
      <c r="A60" s="11" t="s">
        <v>48</v>
      </c>
      <c r="B60" s="5">
        <f>+'0511'!H58</f>
        <v>60</v>
      </c>
      <c r="C60" s="5"/>
      <c r="D60" s="5" t="s">
        <v>18</v>
      </c>
      <c r="E60" s="14"/>
      <c r="F60" s="4"/>
      <c r="G60" s="4">
        <f t="shared" si="0"/>
        <v>0</v>
      </c>
      <c r="H60" s="5">
        <f t="shared" si="1"/>
        <v>60</v>
      </c>
    </row>
    <row r="61" spans="1:8" x14ac:dyDescent="0.25">
      <c r="A61" s="11" t="s">
        <v>75</v>
      </c>
      <c r="B61" s="5">
        <f>+'0511'!H59</f>
        <v>17</v>
      </c>
      <c r="C61" s="5"/>
      <c r="D61" s="5" t="s">
        <v>18</v>
      </c>
      <c r="E61" s="14"/>
      <c r="F61" s="4"/>
      <c r="G61" s="4">
        <f t="shared" si="0"/>
        <v>0</v>
      </c>
      <c r="H61" s="5">
        <f t="shared" si="1"/>
        <v>17</v>
      </c>
    </row>
    <row r="62" spans="1:8" x14ac:dyDescent="0.25">
      <c r="A62" s="11" t="s">
        <v>49</v>
      </c>
      <c r="B62" s="5">
        <f>+'0511'!H60</f>
        <v>160</v>
      </c>
      <c r="C62" s="5"/>
      <c r="D62" s="5" t="s">
        <v>18</v>
      </c>
      <c r="E62" s="14"/>
      <c r="F62" s="4"/>
      <c r="G62" s="4">
        <f t="shared" si="0"/>
        <v>0</v>
      </c>
      <c r="H62" s="5">
        <f t="shared" si="1"/>
        <v>160</v>
      </c>
    </row>
    <row r="63" spans="1:8" x14ac:dyDescent="0.25">
      <c r="A63" s="11" t="s">
        <v>50</v>
      </c>
      <c r="B63" s="5">
        <f>+'0511'!H61</f>
        <v>60</v>
      </c>
      <c r="C63" s="5"/>
      <c r="D63" s="5" t="s">
        <v>18</v>
      </c>
      <c r="E63" s="14"/>
      <c r="F63" s="4"/>
      <c r="G63" s="4">
        <f t="shared" si="0"/>
        <v>0</v>
      </c>
      <c r="H63" s="5">
        <f t="shared" si="1"/>
        <v>60</v>
      </c>
    </row>
    <row r="64" spans="1:8" x14ac:dyDescent="0.25">
      <c r="A64" s="11" t="s">
        <v>51</v>
      </c>
      <c r="B64" s="5">
        <f>+'0511'!H62</f>
        <v>20</v>
      </c>
      <c r="C64" s="5"/>
      <c r="D64" s="5" t="s">
        <v>18</v>
      </c>
      <c r="E64" s="14"/>
      <c r="F64" s="4"/>
      <c r="G64" s="4">
        <f t="shared" si="0"/>
        <v>0</v>
      </c>
      <c r="H64" s="5">
        <f t="shared" si="1"/>
        <v>20</v>
      </c>
    </row>
    <row r="65" spans="1:8" x14ac:dyDescent="0.25">
      <c r="A65" s="11" t="s">
        <v>52</v>
      </c>
      <c r="B65" s="5">
        <f>+'0511'!H63</f>
        <v>100</v>
      </c>
      <c r="C65" s="5"/>
      <c r="D65" s="5" t="s">
        <v>18</v>
      </c>
      <c r="E65" s="14"/>
      <c r="F65" s="4"/>
      <c r="G65" s="4">
        <f t="shared" si="0"/>
        <v>0</v>
      </c>
      <c r="H65" s="5">
        <f t="shared" si="1"/>
        <v>100</v>
      </c>
    </row>
    <row r="66" spans="1:8" x14ac:dyDescent="0.25">
      <c r="A66" s="11" t="s">
        <v>53</v>
      </c>
      <c r="B66" s="5">
        <f>+'0511'!H64</f>
        <v>40</v>
      </c>
      <c r="C66" s="5"/>
      <c r="D66" s="5" t="s">
        <v>18</v>
      </c>
      <c r="E66" s="14"/>
      <c r="F66" s="4"/>
      <c r="G66" s="4">
        <f t="shared" si="0"/>
        <v>0</v>
      </c>
      <c r="H66" s="5">
        <f t="shared" si="1"/>
        <v>40</v>
      </c>
    </row>
    <row r="67" spans="1:8" x14ac:dyDescent="0.25">
      <c r="A67" s="11" t="s">
        <v>54</v>
      </c>
      <c r="B67" s="5">
        <f>+'0511'!H65</f>
        <v>60</v>
      </c>
      <c r="C67" s="5"/>
      <c r="D67" s="5" t="s">
        <v>18</v>
      </c>
      <c r="E67" s="14"/>
      <c r="F67" s="4"/>
      <c r="G67" s="4">
        <f t="shared" si="0"/>
        <v>0</v>
      </c>
      <c r="H67" s="5">
        <f t="shared" si="1"/>
        <v>60</v>
      </c>
    </row>
    <row r="68" spans="1:8" x14ac:dyDescent="0.25">
      <c r="A68" s="11" t="s">
        <v>55</v>
      </c>
      <c r="B68" s="5">
        <f>+'0511'!H66</f>
        <v>100</v>
      </c>
      <c r="C68" s="5"/>
      <c r="D68" s="5" t="s">
        <v>18</v>
      </c>
      <c r="E68" s="14"/>
      <c r="F68" s="4"/>
      <c r="G68" s="4">
        <f t="shared" si="0"/>
        <v>0</v>
      </c>
      <c r="H68" s="5">
        <f t="shared" si="1"/>
        <v>100</v>
      </c>
    </row>
    <row r="69" spans="1:8" x14ac:dyDescent="0.25">
      <c r="A69" s="11" t="s">
        <v>56</v>
      </c>
      <c r="B69" s="5">
        <f>+'0511'!H67</f>
        <v>0</v>
      </c>
      <c r="C69" s="5"/>
      <c r="D69" s="5" t="s">
        <v>18</v>
      </c>
      <c r="E69" s="14"/>
      <c r="F69" s="4"/>
      <c r="G69" s="4">
        <f t="shared" si="0"/>
        <v>0</v>
      </c>
      <c r="H69" s="5">
        <f t="shared" si="1"/>
        <v>0</v>
      </c>
    </row>
    <row r="70" spans="1:8" x14ac:dyDescent="0.25">
      <c r="A70" s="11" t="s">
        <v>57</v>
      </c>
      <c r="B70" s="5">
        <f>+'0511'!H68</f>
        <v>60</v>
      </c>
      <c r="C70" s="5"/>
      <c r="D70" s="5" t="s">
        <v>18</v>
      </c>
      <c r="E70" s="14"/>
      <c r="F70" s="4"/>
      <c r="G70" s="4">
        <f t="shared" si="0"/>
        <v>0</v>
      </c>
      <c r="H70" s="5">
        <f t="shared" si="1"/>
        <v>60</v>
      </c>
    </row>
    <row r="71" spans="1:8" x14ac:dyDescent="0.25">
      <c r="A71" s="11" t="s">
        <v>58</v>
      </c>
      <c r="B71" s="5">
        <f>+'0511'!H69</f>
        <v>166</v>
      </c>
      <c r="C71" s="5"/>
      <c r="D71" s="5" t="s">
        <v>18</v>
      </c>
      <c r="E71" s="14"/>
      <c r="F71" s="4"/>
      <c r="G71" s="4">
        <f t="shared" si="0"/>
        <v>0</v>
      </c>
      <c r="H71" s="5">
        <f>B71-E71+C71</f>
        <v>166</v>
      </c>
    </row>
    <row r="72" spans="1:8" x14ac:dyDescent="0.25">
      <c r="A72" s="11" t="s">
        <v>71</v>
      </c>
      <c r="B72" s="5">
        <f>+'0511'!H70</f>
        <v>34</v>
      </c>
      <c r="C72" s="5"/>
      <c r="D72" s="5" t="s">
        <v>18</v>
      </c>
      <c r="E72" s="14"/>
      <c r="F72" s="4"/>
      <c r="G72" s="4">
        <f t="shared" si="0"/>
        <v>0</v>
      </c>
      <c r="H72" s="5">
        <f t="shared" si="1"/>
        <v>34</v>
      </c>
    </row>
    <row r="73" spans="1:8" x14ac:dyDescent="0.25">
      <c r="A73" s="11" t="s">
        <v>59</v>
      </c>
      <c r="B73" s="5">
        <f>+'0511'!H71</f>
        <v>0</v>
      </c>
      <c r="C73" s="5"/>
      <c r="D73" s="5" t="s">
        <v>18</v>
      </c>
      <c r="E73" s="14"/>
      <c r="F73" s="4"/>
      <c r="G73" s="4">
        <f t="shared" si="0"/>
        <v>0</v>
      </c>
      <c r="H73" s="5">
        <f t="shared" si="1"/>
        <v>0</v>
      </c>
    </row>
    <row r="74" spans="1:8" x14ac:dyDescent="0.25">
      <c r="A74" s="11" t="s">
        <v>81</v>
      </c>
      <c r="B74" s="5">
        <f>+'0511'!H72</f>
        <v>15</v>
      </c>
      <c r="C74" s="5"/>
      <c r="D74" s="5" t="s">
        <v>18</v>
      </c>
      <c r="E74" s="14"/>
      <c r="F74" s="4"/>
      <c r="G74" s="4">
        <f t="shared" si="0"/>
        <v>0</v>
      </c>
      <c r="H74" s="5">
        <f t="shared" si="1"/>
        <v>15</v>
      </c>
    </row>
    <row r="75" spans="1:8" x14ac:dyDescent="0.25">
      <c r="A75" s="11" t="s">
        <v>96</v>
      </c>
      <c r="B75" s="5">
        <f>+'0511'!H73</f>
        <v>0</v>
      </c>
      <c r="C75" s="5"/>
      <c r="D75" s="5" t="s">
        <v>18</v>
      </c>
      <c r="E75" s="14"/>
      <c r="F75" s="4"/>
      <c r="G75" s="4">
        <f t="shared" si="0"/>
        <v>0</v>
      </c>
      <c r="H75" s="5">
        <f>B75-E75+C75</f>
        <v>0</v>
      </c>
    </row>
    <row r="76" spans="1:8" ht="18.75" x14ac:dyDescent="0.3">
      <c r="A76" s="7" t="s">
        <v>2</v>
      </c>
      <c r="B76" s="7"/>
      <c r="C76" s="7"/>
      <c r="D76" s="7"/>
      <c r="E76" s="8"/>
      <c r="F76" s="8"/>
      <c r="G76" s="8"/>
      <c r="H76" s="8"/>
    </row>
  </sheetData>
  <mergeCells count="2">
    <mergeCell ref="A2:A3"/>
    <mergeCell ref="B2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1"/>
  <sheetViews>
    <sheetView tabSelected="1" topLeftCell="A4" workbookViewId="0">
      <selection activeCell="A16" sqref="A16:XFD16"/>
    </sheetView>
  </sheetViews>
  <sheetFormatPr baseColWidth="10" defaultRowHeight="15" x14ac:dyDescent="0.25"/>
  <cols>
    <col min="1" max="1" width="21" customWidth="1"/>
    <col min="2" max="2" width="12.85546875" customWidth="1"/>
    <col min="7" max="7" width="13.140625" customWidth="1"/>
    <col min="8" max="8" width="12.85546875" customWidth="1"/>
    <col min="9" max="9" width="11.85546875" customWidth="1"/>
  </cols>
  <sheetData>
    <row r="2" spans="1:13" ht="15.75" thickBot="1" x14ac:dyDescent="0.3"/>
    <row r="3" spans="1:13" ht="19.5" thickBot="1" x14ac:dyDescent="0.3">
      <c r="A3" s="15"/>
      <c r="B3" s="16"/>
      <c r="C3" s="16"/>
      <c r="D3" s="34" t="s">
        <v>88</v>
      </c>
      <c r="E3" s="35"/>
      <c r="F3" s="35"/>
      <c r="G3" s="35"/>
      <c r="H3" s="36"/>
      <c r="I3" s="16"/>
      <c r="J3" s="16"/>
    </row>
    <row r="4" spans="1:13" x14ac:dyDescent="0.25">
      <c r="A4" s="17"/>
    </row>
    <row r="5" spans="1:13" x14ac:dyDescent="0.25">
      <c r="A5" s="37" t="s">
        <v>82</v>
      </c>
      <c r="B5" s="38" t="s">
        <v>83</v>
      </c>
      <c r="C5" s="38" t="s">
        <v>89</v>
      </c>
      <c r="D5" s="38" t="s">
        <v>84</v>
      </c>
      <c r="E5" s="38" t="s">
        <v>90</v>
      </c>
      <c r="F5" s="38" t="s">
        <v>85</v>
      </c>
      <c r="G5" s="38" t="s">
        <v>86</v>
      </c>
      <c r="H5" s="38" t="s">
        <v>91</v>
      </c>
      <c r="I5" s="38" t="s">
        <v>87</v>
      </c>
      <c r="J5" s="38" t="s">
        <v>92</v>
      </c>
      <c r="K5" s="38" t="s">
        <v>93</v>
      </c>
      <c r="L5" s="38" t="s">
        <v>94</v>
      </c>
      <c r="M5" s="38" t="s">
        <v>95</v>
      </c>
    </row>
    <row r="6" spans="1:13" x14ac:dyDescent="0.25">
      <c r="A6" s="37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spans="1:13" x14ac:dyDescent="0.25">
      <c r="A7" s="21" t="s">
        <v>98</v>
      </c>
      <c r="B7" s="18">
        <v>1800</v>
      </c>
      <c r="C7" s="18">
        <v>930</v>
      </c>
      <c r="D7" s="18">
        <v>1470</v>
      </c>
      <c r="E7" s="18">
        <v>1110</v>
      </c>
      <c r="F7" s="18">
        <v>360</v>
      </c>
      <c r="G7" s="18">
        <v>1380</v>
      </c>
      <c r="H7" s="18">
        <v>780</v>
      </c>
      <c r="I7" s="18">
        <v>180</v>
      </c>
      <c r="J7" s="18">
        <v>1650</v>
      </c>
      <c r="K7" s="24">
        <f>+'3010'!H11</f>
        <v>1110</v>
      </c>
      <c r="L7" s="18">
        <f>+'0611'!H11</f>
        <v>960</v>
      </c>
      <c r="M7" s="18">
        <f>+[1]JANVIER!Z568</f>
        <v>0</v>
      </c>
    </row>
    <row r="8" spans="1:13" x14ac:dyDescent="0.25">
      <c r="A8" s="21" t="s">
        <v>7</v>
      </c>
      <c r="B8" s="18">
        <v>74</v>
      </c>
      <c r="C8" s="18">
        <v>245</v>
      </c>
      <c r="D8" s="18">
        <v>214</v>
      </c>
      <c r="E8" s="18">
        <v>188</v>
      </c>
      <c r="F8" s="18">
        <v>162</v>
      </c>
      <c r="G8" s="18">
        <v>131</v>
      </c>
      <c r="H8" s="18">
        <v>291</v>
      </c>
      <c r="I8" s="18">
        <v>254</v>
      </c>
      <c r="J8" s="18">
        <v>242</v>
      </c>
      <c r="K8" s="24">
        <f>+'3010'!H6</f>
        <v>216</v>
      </c>
      <c r="L8" s="18">
        <f>+'0611'!H6</f>
        <v>208</v>
      </c>
      <c r="M8" s="18">
        <f>+[1]FEVRIER!Z651</f>
        <v>0</v>
      </c>
    </row>
    <row r="9" spans="1:13" x14ac:dyDescent="0.25">
      <c r="A9" s="21" t="s">
        <v>8</v>
      </c>
      <c r="B9" s="18">
        <v>24</v>
      </c>
      <c r="C9" s="18">
        <v>148</v>
      </c>
      <c r="D9" s="18">
        <v>125</v>
      </c>
      <c r="E9" s="18">
        <v>100</v>
      </c>
      <c r="F9" s="18">
        <v>82</v>
      </c>
      <c r="G9" s="18">
        <v>70</v>
      </c>
      <c r="H9" s="18">
        <v>57</v>
      </c>
      <c r="I9" s="18">
        <v>45</v>
      </c>
      <c r="J9" s="18">
        <v>30</v>
      </c>
      <c r="K9" s="24">
        <f>+'3010'!H7</f>
        <v>11</v>
      </c>
      <c r="L9" s="18">
        <f>+'0611'!H7</f>
        <v>57</v>
      </c>
      <c r="M9" s="18">
        <f>+[1]MARS!Z536</f>
        <v>0</v>
      </c>
    </row>
    <row r="10" spans="1:13" x14ac:dyDescent="0.25">
      <c r="A10" s="21" t="s">
        <v>99</v>
      </c>
      <c r="B10" s="18">
        <f>+[1]AVRIL!O814</f>
        <v>0</v>
      </c>
      <c r="C10" s="18">
        <f>+[1]AVRIL!P814</f>
        <v>0</v>
      </c>
      <c r="D10" s="18">
        <v>35</v>
      </c>
      <c r="E10" s="18">
        <v>24</v>
      </c>
      <c r="F10" s="18">
        <v>20</v>
      </c>
      <c r="G10" s="18">
        <v>9</v>
      </c>
      <c r="H10" s="18">
        <v>39</v>
      </c>
      <c r="I10" s="18">
        <v>22</v>
      </c>
      <c r="J10" s="18">
        <v>75</v>
      </c>
      <c r="K10" s="24">
        <f>+'3010'!H8</f>
        <v>48</v>
      </c>
      <c r="L10" s="18">
        <f>+'0611'!H8</f>
        <v>44</v>
      </c>
      <c r="M10" s="18">
        <f>+[1]AVRIL!Z814</f>
        <v>0</v>
      </c>
    </row>
    <row r="11" spans="1:13" x14ac:dyDescent="0.25">
      <c r="A11" s="21" t="s">
        <v>100</v>
      </c>
      <c r="B11" s="18">
        <f>+[1]MAI!O709</f>
        <v>0</v>
      </c>
      <c r="C11" s="18">
        <f>+[1]MAI!P709</f>
        <v>0</v>
      </c>
      <c r="D11" s="18">
        <f>+[1]MAI!Q709</f>
        <v>0</v>
      </c>
      <c r="E11" s="18">
        <v>1200</v>
      </c>
      <c r="F11" s="18">
        <v>848</v>
      </c>
      <c r="G11" s="18">
        <v>368</v>
      </c>
      <c r="H11" s="18">
        <v>1472</v>
      </c>
      <c r="I11" s="18">
        <v>1072</v>
      </c>
      <c r="J11" s="18">
        <v>544</v>
      </c>
      <c r="K11" s="22">
        <f>+'3010'!H9</f>
        <v>2348</v>
      </c>
      <c r="L11" s="18">
        <f>+'0611'!H9</f>
        <v>2108</v>
      </c>
      <c r="M11" s="18">
        <f>+[1]MAI!Z709</f>
        <v>0</v>
      </c>
    </row>
    <row r="12" spans="1:13" x14ac:dyDescent="0.25">
      <c r="A12" s="21" t="s">
        <v>14</v>
      </c>
      <c r="B12" s="18">
        <v>204452</v>
      </c>
      <c r="C12" s="18">
        <v>181302</v>
      </c>
      <c r="D12" s="18">
        <v>163852</v>
      </c>
      <c r="E12" s="18">
        <v>144452</v>
      </c>
      <c r="F12" s="18">
        <v>122100</v>
      </c>
      <c r="G12" s="18">
        <v>99350</v>
      </c>
      <c r="H12" s="18">
        <v>78225</v>
      </c>
      <c r="I12" s="18">
        <v>59950</v>
      </c>
      <c r="J12" s="18">
        <v>31725</v>
      </c>
      <c r="K12" s="22">
        <v>58525</v>
      </c>
      <c r="L12" s="18">
        <f>+'0611'!H14</f>
        <v>51375</v>
      </c>
      <c r="M12" s="18">
        <f>+[1]JUIN!Z764</f>
        <v>0</v>
      </c>
    </row>
    <row r="13" spans="1:13" x14ac:dyDescent="0.25">
      <c r="A13" s="21" t="s">
        <v>15</v>
      </c>
      <c r="B13" s="18">
        <v>1297</v>
      </c>
      <c r="C13" s="18">
        <v>1817</v>
      </c>
      <c r="D13" s="18">
        <v>921</v>
      </c>
      <c r="E13" s="18">
        <v>1301</v>
      </c>
      <c r="F13" s="18">
        <v>1348</v>
      </c>
      <c r="G13" s="18">
        <v>1464</v>
      </c>
      <c r="H13" s="18">
        <v>3058</v>
      </c>
      <c r="I13" s="18">
        <v>2134</v>
      </c>
      <c r="J13" s="18">
        <v>3634</v>
      </c>
      <c r="K13" s="22">
        <f>+'3010'!H15</f>
        <v>2230</v>
      </c>
      <c r="L13" s="18">
        <f>+'0611'!H15</f>
        <v>1820</v>
      </c>
      <c r="M13" s="18">
        <f>+[1]JUIL!Z794</f>
        <v>0</v>
      </c>
    </row>
    <row r="14" spans="1:13" x14ac:dyDescent="0.25">
      <c r="A14" s="21" t="s">
        <v>13</v>
      </c>
      <c r="B14" s="18">
        <v>25</v>
      </c>
      <c r="C14" s="18">
        <v>250</v>
      </c>
      <c r="D14" s="18">
        <v>1075</v>
      </c>
      <c r="E14" s="18">
        <v>900</v>
      </c>
      <c r="F14" s="18">
        <v>600</v>
      </c>
      <c r="G14" s="18">
        <v>325</v>
      </c>
      <c r="H14" s="18">
        <v>125</v>
      </c>
      <c r="I14" s="18">
        <v>950</v>
      </c>
      <c r="J14" s="18">
        <v>675</v>
      </c>
      <c r="K14" s="22">
        <f>+'3010'!H13</f>
        <v>400</v>
      </c>
      <c r="L14" s="18">
        <f>+'0611'!H13</f>
        <v>325</v>
      </c>
      <c r="M14" s="18">
        <f>+[1]AOUT!Z700</f>
        <v>0</v>
      </c>
    </row>
    <row r="15" spans="1:13" x14ac:dyDescent="0.25">
      <c r="A15" s="21" t="s">
        <v>12</v>
      </c>
      <c r="B15" s="18">
        <v>855</v>
      </c>
      <c r="C15" s="18">
        <v>505</v>
      </c>
      <c r="D15" s="18">
        <v>2030</v>
      </c>
      <c r="E15" s="18">
        <v>1030</v>
      </c>
      <c r="F15" s="18">
        <v>1805</v>
      </c>
      <c r="G15" s="18">
        <v>3255</v>
      </c>
      <c r="H15" s="18">
        <v>2555</v>
      </c>
      <c r="I15" s="18">
        <v>1680</v>
      </c>
      <c r="J15" s="18">
        <v>930</v>
      </c>
      <c r="K15" s="22">
        <f>+'3010'!H12</f>
        <v>2725</v>
      </c>
      <c r="L15" s="18">
        <f>+'0611'!H12</f>
        <v>2575</v>
      </c>
      <c r="M15" s="18">
        <f>+[1]SEPT!Z874</f>
        <v>0</v>
      </c>
    </row>
    <row r="16" spans="1:13" x14ac:dyDescent="0.25">
      <c r="A16" s="21" t="s">
        <v>5</v>
      </c>
      <c r="B16" s="19">
        <v>46</v>
      </c>
      <c r="C16" s="19">
        <v>283</v>
      </c>
      <c r="D16" s="19">
        <v>208</v>
      </c>
      <c r="E16" s="19">
        <v>119</v>
      </c>
      <c r="F16" s="19">
        <v>44</v>
      </c>
      <c r="G16" s="19">
        <v>102</v>
      </c>
      <c r="H16" s="19">
        <v>120</v>
      </c>
      <c r="I16" s="19">
        <v>30</v>
      </c>
      <c r="J16" s="19">
        <v>90</v>
      </c>
      <c r="K16" s="23">
        <f>+'3010'!H4</f>
        <v>32</v>
      </c>
      <c r="L16" s="19">
        <f>+'0611'!H4</f>
        <v>167</v>
      </c>
      <c r="M16" s="19">
        <f>[1]OCTO!Z984</f>
        <v>0</v>
      </c>
    </row>
    <row r="17" spans="1:13" x14ac:dyDescent="0.25">
      <c r="A17" s="21" t="s">
        <v>6</v>
      </c>
      <c r="B17" s="14">
        <v>102</v>
      </c>
      <c r="C17" s="14">
        <v>77</v>
      </c>
      <c r="D17" s="14">
        <v>61</v>
      </c>
      <c r="E17" s="14">
        <v>43</v>
      </c>
      <c r="F17" s="14">
        <v>23</v>
      </c>
      <c r="G17" s="14">
        <v>58</v>
      </c>
      <c r="H17" s="14">
        <v>82</v>
      </c>
      <c r="I17" s="14">
        <v>62</v>
      </c>
      <c r="J17" s="14">
        <v>86</v>
      </c>
      <c r="K17" s="20">
        <f>+'3010'!H5</f>
        <v>61</v>
      </c>
      <c r="L17" s="14">
        <f>+'0511'!H5</f>
        <v>105</v>
      </c>
      <c r="M17" s="14">
        <f>+[1]NOVEM!Z191</f>
        <v>0</v>
      </c>
    </row>
    <row r="18" spans="1:13" x14ac:dyDescent="0.25">
      <c r="A18" s="21" t="s">
        <v>101</v>
      </c>
      <c r="B18" s="14">
        <v>225</v>
      </c>
      <c r="C18" s="14">
        <v>175</v>
      </c>
      <c r="D18" s="14">
        <v>150</v>
      </c>
      <c r="E18" s="14">
        <v>125</v>
      </c>
      <c r="F18" s="14">
        <v>100</v>
      </c>
      <c r="G18" s="14">
        <v>50</v>
      </c>
      <c r="H18" s="14">
        <v>175</v>
      </c>
      <c r="I18" s="14">
        <v>125</v>
      </c>
      <c r="J18" s="14">
        <v>400</v>
      </c>
      <c r="K18" s="20">
        <f>+'3010'!H16</f>
        <v>325</v>
      </c>
      <c r="L18" s="14">
        <f>+'0611'!H5</f>
        <v>104</v>
      </c>
      <c r="M18" s="14">
        <f>+[1]NOVEM!Z192</f>
        <v>0</v>
      </c>
    </row>
    <row r="19" spans="1:13" x14ac:dyDescent="0.25">
      <c r="A19" s="12" t="s">
        <v>20</v>
      </c>
      <c r="B19" s="14">
        <f>+[1]NOVEM!O193</f>
        <v>0</v>
      </c>
      <c r="C19" s="14">
        <f>+[1]NOVEM!P193</f>
        <v>0</v>
      </c>
      <c r="D19" s="14">
        <f>+[1]NOVEM!Q193</f>
        <v>0</v>
      </c>
      <c r="E19" s="14">
        <f>+[1]NOVEM!R193</f>
        <v>0</v>
      </c>
      <c r="F19" s="14">
        <f>+[1]NOVEM!S193</f>
        <v>0</v>
      </c>
      <c r="G19" s="14">
        <f>+[1]NOVEM!T193</f>
        <v>0</v>
      </c>
      <c r="H19" s="14">
        <f>+[1]NOVEM!U193</f>
        <v>0</v>
      </c>
      <c r="I19" s="14">
        <f>+[1]NOVEM!V193</f>
        <v>0</v>
      </c>
      <c r="J19" s="14">
        <f>+[1]NOVEM!W193</f>
        <v>0</v>
      </c>
      <c r="K19" s="20">
        <f>+[1]NOVEM!X193</f>
        <v>0</v>
      </c>
      <c r="L19" s="14">
        <f>+[1]NOVEM!Y193</f>
        <v>0</v>
      </c>
      <c r="M19" s="14">
        <f>+[1]NOVEM!Z193</f>
        <v>0</v>
      </c>
    </row>
    <row r="20" spans="1:13" x14ac:dyDescent="0.25">
      <c r="A20" s="13" t="s">
        <v>60</v>
      </c>
      <c r="B20" s="14">
        <f>+[1]NOVEM!O194</f>
        <v>0</v>
      </c>
      <c r="C20" s="14">
        <f>+[1]NOVEM!P194</f>
        <v>0</v>
      </c>
      <c r="D20" s="14">
        <f>+[1]NOVEM!Q194</f>
        <v>0</v>
      </c>
      <c r="E20" s="14">
        <f>+[1]NOVEM!R194</f>
        <v>0</v>
      </c>
      <c r="F20" s="14">
        <f>+[1]NOVEM!S194</f>
        <v>0</v>
      </c>
      <c r="G20" s="14">
        <f>+[1]NOVEM!T194</f>
        <v>0</v>
      </c>
      <c r="H20" s="14">
        <f>+[1]NOVEM!U194</f>
        <v>0</v>
      </c>
      <c r="I20" s="14">
        <f>+[1]NOVEM!V194</f>
        <v>0</v>
      </c>
      <c r="J20" s="14">
        <f>+[1]NOVEM!W194</f>
        <v>0</v>
      </c>
      <c r="K20" s="20">
        <f>+'3010'!H18</f>
        <v>1534.693</v>
      </c>
      <c r="L20" s="14">
        <f>+'0611'!H18</f>
        <v>1462.2430000000002</v>
      </c>
      <c r="M20" s="14">
        <f>+[1]NOVEM!Z194</f>
        <v>0</v>
      </c>
    </row>
    <row r="21" spans="1:13" x14ac:dyDescent="0.25">
      <c r="A21" s="13" t="s">
        <v>61</v>
      </c>
      <c r="B21" s="14">
        <f>+[1]NOVEM!O195</f>
        <v>0</v>
      </c>
      <c r="C21" s="14">
        <f>+[1]NOVEM!P195</f>
        <v>0</v>
      </c>
      <c r="D21" s="14">
        <f>+[1]NOVEM!Q195</f>
        <v>0</v>
      </c>
      <c r="E21" s="14">
        <f>+[1]NOVEM!R195</f>
        <v>0</v>
      </c>
      <c r="F21" s="14">
        <f>+[1]NOVEM!S195</f>
        <v>0</v>
      </c>
      <c r="G21" s="14">
        <f>+[1]NOVEM!T195</f>
        <v>0</v>
      </c>
      <c r="H21" s="14">
        <f>+[1]NOVEM!U195</f>
        <v>0</v>
      </c>
      <c r="I21" s="14">
        <f>+[1]NOVEM!V195</f>
        <v>0</v>
      </c>
      <c r="J21" s="14">
        <f>+[1]NOVEM!W195</f>
        <v>0</v>
      </c>
      <c r="K21" s="20">
        <f>+'3010'!H19</f>
        <v>344.971</v>
      </c>
      <c r="L21" s="14">
        <f>+'0611'!H19</f>
        <v>322.221</v>
      </c>
      <c r="M21" s="14">
        <f>+[1]NOVEM!Z195</f>
        <v>0</v>
      </c>
    </row>
    <row r="22" spans="1:13" x14ac:dyDescent="0.25">
      <c r="A22" s="13" t="s">
        <v>62</v>
      </c>
      <c r="B22" s="14">
        <f>+[1]NOVEM!O196</f>
        <v>0</v>
      </c>
      <c r="C22" s="14">
        <f>+[1]NOVEM!P196</f>
        <v>0</v>
      </c>
      <c r="D22" s="14">
        <f>+[1]NOVEM!Q196</f>
        <v>0</v>
      </c>
      <c r="E22" s="14">
        <f>+[1]NOVEM!R196</f>
        <v>0</v>
      </c>
      <c r="F22" s="14">
        <f>+[1]NOVEM!S196</f>
        <v>0</v>
      </c>
      <c r="G22" s="14">
        <f>+[1]NOVEM!T196</f>
        <v>0</v>
      </c>
      <c r="H22" s="14">
        <f>+[1]NOVEM!U196</f>
        <v>0</v>
      </c>
      <c r="I22" s="14">
        <f>+[1]NOVEM!V196</f>
        <v>0</v>
      </c>
      <c r="J22" s="14">
        <f>+[1]NOVEM!W196</f>
        <v>0</v>
      </c>
      <c r="K22" s="20">
        <f>+'3010'!H20</f>
        <v>990.22</v>
      </c>
      <c r="L22" s="14">
        <f>+'0611'!H20</f>
        <v>948.21</v>
      </c>
      <c r="M22" s="14">
        <f>+[1]NOVEM!Z196</f>
        <v>0</v>
      </c>
    </row>
    <row r="23" spans="1:13" x14ac:dyDescent="0.25">
      <c r="A23" s="13" t="s">
        <v>63</v>
      </c>
      <c r="B23" s="14">
        <f>+[1]NOVEM!O197</f>
        <v>0</v>
      </c>
      <c r="C23" s="14">
        <f>+[1]NOVEM!P197</f>
        <v>0</v>
      </c>
      <c r="D23" s="14">
        <f>+[1]NOVEM!Q197</f>
        <v>0</v>
      </c>
      <c r="E23" s="14">
        <f>+[1]NOVEM!R197</f>
        <v>0</v>
      </c>
      <c r="F23" s="14">
        <f>+[1]NOVEM!S197</f>
        <v>0</v>
      </c>
      <c r="G23" s="14">
        <f>+[1]NOVEM!T197</f>
        <v>0</v>
      </c>
      <c r="H23" s="14">
        <f>+[1]NOVEM!U197</f>
        <v>0</v>
      </c>
      <c r="I23" s="14">
        <f>+[1]NOVEM!V197</f>
        <v>0</v>
      </c>
      <c r="J23" s="14">
        <f>+[1]NOVEM!W197</f>
        <v>0</v>
      </c>
      <c r="K23" s="20">
        <f>+'3010'!H21</f>
        <v>2462.3689999999997</v>
      </c>
      <c r="L23" s="14">
        <f>+'0611'!H21</f>
        <v>2448.4489999999996</v>
      </c>
      <c r="M23" s="14">
        <f>+[1]NOVEM!Z197</f>
        <v>0</v>
      </c>
    </row>
    <row r="24" spans="1:13" x14ac:dyDescent="0.25">
      <c r="A24" s="13" t="s">
        <v>64</v>
      </c>
      <c r="B24" s="14">
        <f>+[1]NOVEM!O198</f>
        <v>0</v>
      </c>
      <c r="C24" s="14">
        <f>+[1]NOVEM!P198</f>
        <v>0</v>
      </c>
      <c r="D24" s="14">
        <f>+[1]NOVEM!Q198</f>
        <v>0</v>
      </c>
      <c r="E24" s="14">
        <f>+[1]NOVEM!R198</f>
        <v>0</v>
      </c>
      <c r="F24" s="14">
        <f>+[1]NOVEM!S198</f>
        <v>0</v>
      </c>
      <c r="G24" s="14">
        <f>+[1]NOVEM!T198</f>
        <v>0</v>
      </c>
      <c r="H24" s="14">
        <f>+[1]NOVEM!U198</f>
        <v>0</v>
      </c>
      <c r="I24" s="14">
        <f>+[1]NOVEM!V198</f>
        <v>0</v>
      </c>
      <c r="J24" s="14">
        <f>+[1]NOVEM!W198</f>
        <v>0</v>
      </c>
      <c r="K24" s="20">
        <f>+'3010'!H22</f>
        <v>1262.53</v>
      </c>
      <c r="L24" s="14">
        <f>+'0611'!H22</f>
        <v>1261.08</v>
      </c>
      <c r="M24" s="14">
        <f>+[1]NOVEM!Z198</f>
        <v>0</v>
      </c>
    </row>
    <row r="25" spans="1:13" x14ac:dyDescent="0.25">
      <c r="A25" s="13" t="s">
        <v>65</v>
      </c>
      <c r="B25" s="14">
        <f>+[1]NOVEM!O199</f>
        <v>0</v>
      </c>
      <c r="C25" s="14">
        <f>+[1]NOVEM!P199</f>
        <v>0</v>
      </c>
      <c r="D25" s="14">
        <f>+[1]NOVEM!Q199</f>
        <v>0</v>
      </c>
      <c r="E25" s="14">
        <f>+[1]NOVEM!R199</f>
        <v>0</v>
      </c>
      <c r="F25" s="14">
        <f>+[1]NOVEM!S199</f>
        <v>0</v>
      </c>
      <c r="G25" s="14">
        <f>+[1]NOVEM!T199</f>
        <v>0</v>
      </c>
      <c r="H25" s="14">
        <f>+[1]NOVEM!U199</f>
        <v>0</v>
      </c>
      <c r="I25" s="14">
        <f>+[1]NOVEM!V199</f>
        <v>0</v>
      </c>
      <c r="J25" s="14">
        <f>+[1]NOVEM!W199</f>
        <v>0</v>
      </c>
      <c r="K25" s="20">
        <f>+'3010'!H23</f>
        <v>230</v>
      </c>
      <c r="L25" s="14">
        <f>+'0611'!H23</f>
        <v>158</v>
      </c>
      <c r="M25" s="14">
        <f>+[1]NOVEM!Z199</f>
        <v>0</v>
      </c>
    </row>
    <row r="26" spans="1:13" x14ac:dyDescent="0.25">
      <c r="A26" s="13" t="s">
        <v>66</v>
      </c>
      <c r="B26" s="14">
        <f>+[1]NOVEM!O200</f>
        <v>0</v>
      </c>
      <c r="C26" s="14">
        <f>+[1]NOVEM!P200</f>
        <v>0</v>
      </c>
      <c r="D26" s="14">
        <f>+[1]NOVEM!Q200</f>
        <v>0</v>
      </c>
      <c r="E26" s="14">
        <f>+[1]NOVEM!R200</f>
        <v>0</v>
      </c>
      <c r="F26" s="14">
        <f>+[1]NOVEM!S200</f>
        <v>0</v>
      </c>
      <c r="G26" s="14">
        <f>+[1]NOVEM!T200</f>
        <v>0</v>
      </c>
      <c r="H26" s="14">
        <f>+[1]NOVEM!U200</f>
        <v>0</v>
      </c>
      <c r="I26" s="14">
        <f>+[1]NOVEM!V200</f>
        <v>0</v>
      </c>
      <c r="J26" s="14">
        <f>+[1]NOVEM!W200</f>
        <v>0</v>
      </c>
      <c r="K26" s="20">
        <f>+'3010'!H24</f>
        <v>974.65200000000004</v>
      </c>
      <c r="L26" s="14">
        <f>+'0611'!H24</f>
        <v>972.12400000000002</v>
      </c>
      <c r="M26" s="14">
        <f>+[1]NOVEM!Z200</f>
        <v>0</v>
      </c>
    </row>
    <row r="27" spans="1:13" x14ac:dyDescent="0.25">
      <c r="A27" s="13" t="s">
        <v>67</v>
      </c>
      <c r="B27" s="14">
        <f>+[1]NOVEM!O201</f>
        <v>0</v>
      </c>
      <c r="C27" s="14">
        <f>+[1]NOVEM!P201</f>
        <v>0</v>
      </c>
      <c r="D27" s="14">
        <f>+[1]NOVEM!Q201</f>
        <v>0</v>
      </c>
      <c r="E27" s="14">
        <f>+[1]NOVEM!R201</f>
        <v>0</v>
      </c>
      <c r="F27" s="14">
        <f>+[1]NOVEM!S201</f>
        <v>0</v>
      </c>
      <c r="G27" s="14">
        <f>+[1]NOVEM!T201</f>
        <v>0</v>
      </c>
      <c r="H27" s="14">
        <f>+[1]NOVEM!U201</f>
        <v>0</v>
      </c>
      <c r="I27" s="14">
        <f>+[1]NOVEM!V201</f>
        <v>0</v>
      </c>
      <c r="J27" s="14">
        <f>+[1]NOVEM!W201</f>
        <v>0</v>
      </c>
      <c r="K27" s="20">
        <f>+'3010'!H25</f>
        <v>1104</v>
      </c>
      <c r="L27" s="14">
        <f>+'0611'!H25</f>
        <v>1103.3</v>
      </c>
      <c r="M27" s="14">
        <f>+[1]NOVEM!Z201</f>
        <v>0</v>
      </c>
    </row>
    <row r="28" spans="1:13" x14ac:dyDescent="0.25">
      <c r="A28" s="13" t="s">
        <v>68</v>
      </c>
      <c r="B28" s="14">
        <f>+[1]NOVEM!O202</f>
        <v>0</v>
      </c>
      <c r="C28" s="14">
        <f>+[1]NOVEM!P202</f>
        <v>0</v>
      </c>
      <c r="D28" s="14">
        <f>+[1]NOVEM!Q202</f>
        <v>0</v>
      </c>
      <c r="E28" s="14">
        <f>+[1]NOVEM!R202</f>
        <v>0</v>
      </c>
      <c r="F28" s="14">
        <f>+[1]NOVEM!S202</f>
        <v>0</v>
      </c>
      <c r="G28" s="14">
        <f>+[1]NOVEM!T202</f>
        <v>0</v>
      </c>
      <c r="H28" s="14">
        <f>+[1]NOVEM!U202</f>
        <v>0</v>
      </c>
      <c r="I28" s="14">
        <f>+[1]NOVEM!V202</f>
        <v>0</v>
      </c>
      <c r="J28" s="14">
        <f>+[1]NOVEM!W202</f>
        <v>0</v>
      </c>
      <c r="K28" s="20">
        <f>+'3010'!H26</f>
        <v>229.04</v>
      </c>
      <c r="L28" s="14">
        <f>+'0611'!H26</f>
        <v>208.44</v>
      </c>
      <c r="M28" s="14">
        <f>+[1]NOVEM!Z202</f>
        <v>0</v>
      </c>
    </row>
    <row r="29" spans="1:13" x14ac:dyDescent="0.25">
      <c r="A29" s="13" t="s">
        <v>69</v>
      </c>
      <c r="B29" s="14">
        <f>+[1]NOVEM!O203</f>
        <v>0</v>
      </c>
      <c r="C29" s="14">
        <f>+[1]NOVEM!P203</f>
        <v>0</v>
      </c>
      <c r="D29" s="14">
        <f>+[1]NOVEM!Q203</f>
        <v>0</v>
      </c>
      <c r="E29" s="14">
        <f>+[1]NOVEM!R203</f>
        <v>0</v>
      </c>
      <c r="F29" s="14">
        <f>+[1]NOVEM!S203</f>
        <v>0</v>
      </c>
      <c r="G29" s="14">
        <f>+[1]NOVEM!T203</f>
        <v>0</v>
      </c>
      <c r="H29" s="14">
        <f>+[1]NOVEM!U203</f>
        <v>0</v>
      </c>
      <c r="I29" s="14">
        <f>+[1]NOVEM!V203</f>
        <v>0</v>
      </c>
      <c r="J29" s="14">
        <f>+[1]NOVEM!W203</f>
        <v>0</v>
      </c>
      <c r="K29" s="20">
        <f>+'3010'!H27</f>
        <v>969.81</v>
      </c>
      <c r="L29" s="14">
        <f>+'0611'!H27</f>
        <v>896.6099999999999</v>
      </c>
      <c r="M29" s="14">
        <f>+[1]NOVEM!Z203</f>
        <v>0</v>
      </c>
    </row>
    <row r="30" spans="1:13" x14ac:dyDescent="0.25">
      <c r="A30" s="13" t="s">
        <v>70</v>
      </c>
      <c r="B30" s="14">
        <f>+[1]NOVEM!O204</f>
        <v>0</v>
      </c>
      <c r="C30" s="14">
        <f>+[1]NOVEM!P204</f>
        <v>0</v>
      </c>
      <c r="D30" s="14">
        <f>+[1]NOVEM!Q204</f>
        <v>0</v>
      </c>
      <c r="E30" s="14">
        <f>+[1]NOVEM!R204</f>
        <v>0</v>
      </c>
      <c r="F30" s="14">
        <f>+[1]NOVEM!S204</f>
        <v>0</v>
      </c>
      <c r="G30" s="14">
        <f>+[1]NOVEM!T204</f>
        <v>0</v>
      </c>
      <c r="H30" s="14">
        <f>+[1]NOVEM!U204</f>
        <v>0</v>
      </c>
      <c r="I30" s="14">
        <f>+[1]NOVEM!V204</f>
        <v>0</v>
      </c>
      <c r="J30" s="14">
        <f>+[1]NOVEM!W204</f>
        <v>0</v>
      </c>
      <c r="K30" s="20">
        <f>+'3010'!H28</f>
        <v>14815.870999999999</v>
      </c>
      <c r="L30" s="14">
        <f>+'0611'!H28</f>
        <v>14641.635999999999</v>
      </c>
      <c r="M30" s="14">
        <f>+[1]NOVEM!Z204</f>
        <v>0</v>
      </c>
    </row>
    <row r="31" spans="1:13" ht="18.75" x14ac:dyDescent="0.3">
      <c r="A31" s="7" t="s">
        <v>2</v>
      </c>
    </row>
  </sheetData>
  <mergeCells count="14">
    <mergeCell ref="I5:I6"/>
    <mergeCell ref="J5:J6"/>
    <mergeCell ref="K5:K6"/>
    <mergeCell ref="L5:L6"/>
    <mergeCell ref="M5:M6"/>
    <mergeCell ref="D3:H3"/>
    <mergeCell ref="A5:A6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1310</vt:lpstr>
      <vt:lpstr>1410</vt:lpstr>
      <vt:lpstr>1510</vt:lpstr>
      <vt:lpstr>1610</vt:lpstr>
      <vt:lpstr>1910</vt:lpstr>
      <vt:lpstr>2010</vt:lpstr>
      <vt:lpstr>2110</vt:lpstr>
      <vt:lpstr>2210</vt:lpstr>
      <vt:lpstr>2310</vt:lpstr>
      <vt:lpstr>2510</vt:lpstr>
      <vt:lpstr>2710</vt:lpstr>
      <vt:lpstr>2810</vt:lpstr>
      <vt:lpstr>2910</vt:lpstr>
      <vt:lpstr>3010</vt:lpstr>
      <vt:lpstr>0111</vt:lpstr>
      <vt:lpstr>0211</vt:lpstr>
      <vt:lpstr>0311</vt:lpstr>
      <vt:lpstr>0411</vt:lpstr>
      <vt:lpstr>0511</vt:lpstr>
      <vt:lpstr>0611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2025-10-14T10:14:32Z</dcterms:created>
  <dcterms:modified xsi:type="dcterms:W3CDTF">2025-11-09T13:30:47Z</dcterms:modified>
</cp:coreProperties>
</file>